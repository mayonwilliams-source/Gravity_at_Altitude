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ayonwilliams/Desktop/Georgia Tech Class Files/M.S./Statistical Methods ISyE 6379/"/>
    </mc:Choice>
  </mc:AlternateContent>
  <xr:revisionPtr revIDLastSave="0" documentId="13_ncr:1_{02D05A4C-5835-2747-989B-C5376660C000}" xr6:coauthVersionLast="47" xr6:coauthVersionMax="47" xr10:uidLastSave="{00000000-0000-0000-0000-000000000000}"/>
  <bookViews>
    <workbookView xWindow="160" yWindow="920" windowWidth="29920" windowHeight="17720" tabRatio="500" activeTab="1" xr2:uid="{00000000-000D-0000-FFFF-FFFF00000000}"/>
  </bookViews>
  <sheets>
    <sheet name="Instructions" sheetId="1" r:id="rId1"/>
    <sheet name="Airport Parameters" sheetId="2" r:id="rId2"/>
    <sheet name="Calibration Routes" sheetId="3" r:id="rId3"/>
    <sheet name="JMP Results" sheetId="4" r:id="rId4"/>
  </sheets>
  <definedNames>
    <definedName name="_xlnm._FilterDatabase" localSheetId="1" hidden="1">'Airport Parameters'!$A$1:$P$131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7" i="2" l="1"/>
  <c r="P17" i="2"/>
  <c r="P97" i="2"/>
  <c r="P39" i="2"/>
  <c r="I9" i="4"/>
  <c r="I7" i="4"/>
  <c r="I5" i="4"/>
  <c r="I18" i="4"/>
  <c r="I22" i="4"/>
  <c r="I20" i="4"/>
  <c r="D20" i="4"/>
  <c r="D7" i="4"/>
  <c r="D24" i="4"/>
  <c r="D22" i="4"/>
  <c r="D18" i="4"/>
  <c r="D11" i="4"/>
  <c r="D9" i="4"/>
  <c r="D5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H2" i="3"/>
  <c r="G2" i="3"/>
  <c r="M130" i="2"/>
  <c r="M122" i="2"/>
  <c r="M111" i="2"/>
  <c r="M13" i="2"/>
  <c r="M121" i="2"/>
  <c r="M14" i="2"/>
  <c r="M128" i="2"/>
  <c r="M12" i="2"/>
  <c r="M6" i="2"/>
  <c r="M4" i="2"/>
  <c r="M125" i="2"/>
  <c r="M129" i="2"/>
  <c r="M115" i="2"/>
  <c r="M8" i="2"/>
  <c r="M123" i="2"/>
  <c r="M9" i="2"/>
  <c r="M120" i="2"/>
  <c r="M127" i="2"/>
  <c r="M110" i="2"/>
  <c r="M126" i="2"/>
  <c r="M118" i="2"/>
  <c r="M117" i="2"/>
  <c r="M5" i="2"/>
  <c r="M119" i="2"/>
  <c r="M112" i="2"/>
  <c r="M109" i="2"/>
  <c r="M116" i="2"/>
  <c r="M108" i="2"/>
  <c r="M3" i="2"/>
  <c r="M114" i="2"/>
  <c r="M2" i="2"/>
  <c r="M10" i="2"/>
  <c r="M103" i="2"/>
  <c r="M113" i="2"/>
  <c r="M86" i="2"/>
  <c r="M102" i="2"/>
  <c r="M23" i="2"/>
  <c r="M101" i="2"/>
  <c r="M106" i="2"/>
  <c r="M98" i="2"/>
  <c r="M18" i="2"/>
  <c r="M7" i="2"/>
  <c r="M16" i="2"/>
  <c r="M105" i="2"/>
  <c r="M49" i="2"/>
  <c r="M24" i="2"/>
  <c r="M107" i="2"/>
  <c r="M21" i="2"/>
  <c r="M38" i="2"/>
  <c r="M26" i="2"/>
  <c r="M33" i="2"/>
  <c r="M40" i="2"/>
  <c r="M27" i="2"/>
  <c r="M15" i="2"/>
  <c r="M37" i="2"/>
  <c r="M34" i="2"/>
  <c r="M41" i="2"/>
  <c r="M11" i="2"/>
  <c r="M32" i="2"/>
  <c r="M99" i="2"/>
  <c r="M17" i="2"/>
  <c r="M104" i="2"/>
  <c r="M25" i="2"/>
  <c r="M20" i="2"/>
  <c r="M90" i="2"/>
  <c r="M97" i="2"/>
  <c r="M22" i="2"/>
  <c r="M95" i="2"/>
  <c r="M39" i="2"/>
  <c r="M42" i="2"/>
  <c r="M87" i="2"/>
  <c r="M72" i="2"/>
  <c r="M91" i="2"/>
  <c r="M96" i="2"/>
  <c r="M29" i="2"/>
  <c r="M76" i="2"/>
  <c r="M36" i="2"/>
  <c r="M59" i="2"/>
  <c r="M66" i="2"/>
  <c r="M35" i="2"/>
  <c r="M45" i="2"/>
  <c r="M100" i="2"/>
  <c r="M89" i="2"/>
  <c r="M88" i="2"/>
  <c r="M84" i="2"/>
  <c r="M94" i="2"/>
  <c r="M19" i="2"/>
  <c r="M85" i="2"/>
  <c r="M30" i="2"/>
  <c r="M77" i="2"/>
  <c r="M52" i="2"/>
  <c r="M74" i="2"/>
  <c r="M83" i="2"/>
  <c r="M93" i="2"/>
  <c r="M92" i="2"/>
  <c r="M46" i="2"/>
  <c r="M80" i="2"/>
  <c r="M65" i="2"/>
  <c r="M82" i="2"/>
  <c r="M75" i="2"/>
  <c r="M63" i="2"/>
  <c r="M79" i="2"/>
  <c r="M31" i="2"/>
  <c r="M81" i="2"/>
  <c r="M78" i="2"/>
  <c r="M60" i="2"/>
  <c r="M68" i="2"/>
  <c r="M28" i="2"/>
  <c r="M70" i="2"/>
  <c r="M73" i="2"/>
  <c r="M71" i="2"/>
  <c r="M44" i="2"/>
  <c r="M64" i="2"/>
  <c r="M61" i="2"/>
  <c r="M69" i="2"/>
  <c r="M67" i="2"/>
  <c r="M43" i="2"/>
  <c r="M48" i="2"/>
  <c r="M50" i="2"/>
  <c r="M51" i="2"/>
  <c r="M47" i="2"/>
  <c r="M62" i="2"/>
  <c r="M56" i="2"/>
  <c r="M53" i="2"/>
  <c r="M58" i="2"/>
  <c r="M57" i="2"/>
  <c r="M55" i="2"/>
  <c r="M54" i="2"/>
  <c r="M124" i="2"/>
  <c r="L39" i="2"/>
  <c r="L97" i="2"/>
  <c r="L17" i="2"/>
  <c r="L107" i="2"/>
  <c r="K79" i="2"/>
  <c r="K87" i="2"/>
  <c r="K54" i="2"/>
  <c r="K106" i="2"/>
  <c r="K49" i="2"/>
  <c r="K124" i="2"/>
  <c r="K41" i="2"/>
  <c r="K21" i="2"/>
  <c r="K39" i="2"/>
  <c r="K46" i="2"/>
  <c r="K129" i="2"/>
  <c r="K5" i="2"/>
  <c r="K9" i="2"/>
  <c r="K80" i="2"/>
  <c r="K90" i="2"/>
  <c r="K60" i="2"/>
  <c r="K121" i="2"/>
  <c r="K10" i="2"/>
  <c r="K59" i="2"/>
  <c r="K123" i="2"/>
  <c r="K66" i="2"/>
  <c r="K42" i="2"/>
  <c r="K7" i="2"/>
  <c r="K98" i="2"/>
  <c r="K109" i="2"/>
  <c r="K51" i="2"/>
  <c r="K101" i="2"/>
  <c r="K97" i="2"/>
  <c r="K48" i="2"/>
  <c r="K35" i="2"/>
  <c r="K14" i="2"/>
  <c r="K93" i="2"/>
  <c r="K65" i="2"/>
  <c r="K104" i="2"/>
  <c r="K78" i="2"/>
  <c r="K120" i="2"/>
  <c r="K130" i="2"/>
  <c r="K91" i="2"/>
  <c r="K86" i="2"/>
  <c r="K17" i="2"/>
  <c r="K23" i="2"/>
  <c r="K31" i="2"/>
  <c r="K47" i="2"/>
  <c r="K33" i="2"/>
  <c r="K81" i="2"/>
  <c r="K24" i="2"/>
  <c r="K50" i="2"/>
  <c r="K116" i="2"/>
  <c r="K64" i="2"/>
  <c r="K8" i="2"/>
  <c r="K113" i="2"/>
  <c r="K55" i="2"/>
  <c r="K36" i="2"/>
  <c r="K3" i="2"/>
  <c r="K128" i="2"/>
  <c r="K107" i="2"/>
  <c r="K56" i="2"/>
  <c r="K84" i="2"/>
  <c r="K85" i="2"/>
  <c r="K83" i="2"/>
  <c r="K26" i="2"/>
  <c r="K13" i="2"/>
  <c r="K100" i="2"/>
  <c r="K22" i="2"/>
  <c r="K62" i="2"/>
  <c r="K30" i="2"/>
  <c r="K82" i="2"/>
  <c r="K127" i="2"/>
  <c r="K115" i="2"/>
  <c r="K103" i="2"/>
  <c r="K70" i="2"/>
  <c r="K19" i="2"/>
  <c r="K76" i="2"/>
  <c r="K61" i="2"/>
  <c r="K40" i="2"/>
  <c r="K27" i="2"/>
  <c r="K126" i="2"/>
  <c r="K34" i="2"/>
  <c r="K18" i="2"/>
  <c r="K125" i="2"/>
  <c r="K12" i="2"/>
  <c r="K25" i="2"/>
  <c r="K111" i="2"/>
  <c r="K77" i="2"/>
  <c r="K38" i="2"/>
  <c r="K44" i="2"/>
  <c r="K52" i="2"/>
  <c r="K2" i="2"/>
  <c r="K102" i="2"/>
  <c r="K89" i="2"/>
  <c r="K15" i="2"/>
  <c r="K110" i="2"/>
  <c r="K67" i="2"/>
  <c r="K68" i="2"/>
  <c r="K43" i="2"/>
  <c r="K105" i="2"/>
  <c r="K112" i="2"/>
  <c r="K58" i="2"/>
  <c r="K95" i="2"/>
  <c r="K94" i="2"/>
  <c r="K28" i="2"/>
  <c r="K6" i="2"/>
  <c r="K45" i="2"/>
  <c r="K73" i="2"/>
  <c r="K122" i="2"/>
  <c r="K20" i="2"/>
  <c r="K69" i="2"/>
  <c r="K63" i="2"/>
  <c r="K114" i="2"/>
  <c r="K74" i="2"/>
  <c r="K99" i="2"/>
  <c r="K119" i="2"/>
  <c r="K71" i="2"/>
  <c r="K4" i="2"/>
  <c r="K88" i="2"/>
  <c r="K32" i="2"/>
  <c r="K117" i="2"/>
  <c r="K16" i="2"/>
  <c r="K37" i="2"/>
  <c r="K53" i="2"/>
  <c r="K57" i="2"/>
  <c r="K118" i="2"/>
  <c r="K11" i="2"/>
  <c r="K29" i="2"/>
  <c r="K108" i="2"/>
  <c r="K72" i="2"/>
  <c r="K75" i="2"/>
  <c r="K92" i="2"/>
  <c r="K96" i="2"/>
  <c r="G56" i="2"/>
  <c r="L56" i="2" s="1"/>
  <c r="G84" i="2"/>
  <c r="L84" i="2" s="1"/>
  <c r="G85" i="2"/>
  <c r="L85" i="2" s="1"/>
  <c r="G83" i="2"/>
  <c r="P83" i="2" s="1"/>
  <c r="G26" i="2"/>
  <c r="L26" i="2" s="1"/>
  <c r="G13" i="2"/>
  <c r="L13" i="2" s="1"/>
  <c r="G100" i="2"/>
  <c r="L100" i="2" s="1"/>
  <c r="G22" i="2"/>
  <c r="L22" i="2" s="1"/>
  <c r="G62" i="2"/>
  <c r="L62" i="2" s="1"/>
  <c r="G30" i="2"/>
  <c r="L30" i="2" s="1"/>
  <c r="G82" i="2"/>
  <c r="L82" i="2" s="1"/>
  <c r="G127" i="2"/>
  <c r="L127" i="2" s="1"/>
  <c r="G115" i="2"/>
  <c r="L115" i="2" s="1"/>
  <c r="G103" i="2"/>
  <c r="L103" i="2" s="1"/>
  <c r="G70" i="2"/>
  <c r="L70" i="2" s="1"/>
  <c r="G19" i="2"/>
  <c r="L19" i="2" s="1"/>
  <c r="G76" i="2"/>
  <c r="L76" i="2" s="1"/>
  <c r="G61" i="2"/>
  <c r="L61" i="2" s="1"/>
  <c r="G40" i="2"/>
  <c r="L40" i="2" s="1"/>
  <c r="G27" i="2"/>
  <c r="L27" i="2" s="1"/>
  <c r="G126" i="2"/>
  <c r="L126" i="2" s="1"/>
  <c r="G34" i="2"/>
  <c r="L34" i="2" s="1"/>
  <c r="G18" i="2"/>
  <c r="L18" i="2" s="1"/>
  <c r="G125" i="2"/>
  <c r="L125" i="2" s="1"/>
  <c r="G12" i="2"/>
  <c r="L12" i="2" s="1"/>
  <c r="G25" i="2"/>
  <c r="L25" i="2" s="1"/>
  <c r="G111" i="2"/>
  <c r="L111" i="2" s="1"/>
  <c r="G77" i="2"/>
  <c r="L77" i="2" s="1"/>
  <c r="G38" i="2"/>
  <c r="L38" i="2" s="1"/>
  <c r="G44" i="2"/>
  <c r="L44" i="2" s="1"/>
  <c r="G52" i="2"/>
  <c r="L52" i="2" s="1"/>
  <c r="G2" i="2"/>
  <c r="L2" i="2" s="1"/>
  <c r="G102" i="2"/>
  <c r="L102" i="2" s="1"/>
  <c r="G89" i="2"/>
  <c r="L89" i="2" s="1"/>
  <c r="G15" i="2"/>
  <c r="L15" i="2" s="1"/>
  <c r="G110" i="2"/>
  <c r="L110" i="2" s="1"/>
  <c r="G67" i="2"/>
  <c r="L67" i="2" s="1"/>
  <c r="G68" i="2"/>
  <c r="L68" i="2" s="1"/>
  <c r="G43" i="2"/>
  <c r="L43" i="2" s="1"/>
  <c r="G105" i="2"/>
  <c r="L105" i="2" s="1"/>
  <c r="G112" i="2"/>
  <c r="L112" i="2" s="1"/>
  <c r="G58" i="2"/>
  <c r="L58" i="2" s="1"/>
  <c r="G95" i="2"/>
  <c r="L95" i="2" s="1"/>
  <c r="G94" i="2"/>
  <c r="L94" i="2" s="1"/>
  <c r="G28" i="2"/>
  <c r="L28" i="2" s="1"/>
  <c r="G6" i="2"/>
  <c r="L6" i="2" s="1"/>
  <c r="G45" i="2"/>
  <c r="L45" i="2" s="1"/>
  <c r="G73" i="2"/>
  <c r="L73" i="2" s="1"/>
  <c r="G122" i="2"/>
  <c r="L122" i="2" s="1"/>
  <c r="G20" i="2"/>
  <c r="L20" i="2" s="1"/>
  <c r="G69" i="2"/>
  <c r="L69" i="2" s="1"/>
  <c r="G63" i="2"/>
  <c r="L63" i="2" s="1"/>
  <c r="G114" i="2"/>
  <c r="L114" i="2" s="1"/>
  <c r="G74" i="2"/>
  <c r="L74" i="2" s="1"/>
  <c r="G99" i="2"/>
  <c r="L99" i="2" s="1"/>
  <c r="G119" i="2"/>
  <c r="L119" i="2" s="1"/>
  <c r="G71" i="2"/>
  <c r="L71" i="2" s="1"/>
  <c r="G4" i="2"/>
  <c r="L4" i="2" s="1"/>
  <c r="G88" i="2"/>
  <c r="L88" i="2" s="1"/>
  <c r="G32" i="2"/>
  <c r="L32" i="2" s="1"/>
  <c r="G117" i="2"/>
  <c r="L117" i="2" s="1"/>
  <c r="G16" i="2"/>
  <c r="L16" i="2" s="1"/>
  <c r="G37" i="2"/>
  <c r="L37" i="2" s="1"/>
  <c r="G53" i="2"/>
  <c r="L53" i="2" s="1"/>
  <c r="G57" i="2"/>
  <c r="L57" i="2" s="1"/>
  <c r="G118" i="2"/>
  <c r="L118" i="2" s="1"/>
  <c r="G11" i="2"/>
  <c r="L11" i="2" s="1"/>
  <c r="G29" i="2"/>
  <c r="L29" i="2" s="1"/>
  <c r="G108" i="2"/>
  <c r="L108" i="2" s="1"/>
  <c r="G72" i="2"/>
  <c r="L72" i="2" s="1"/>
  <c r="G75" i="2"/>
  <c r="L75" i="2" s="1"/>
  <c r="G92" i="2"/>
  <c r="L92" i="2" s="1"/>
  <c r="G23" i="2"/>
  <c r="L23" i="2" s="1"/>
  <c r="G31" i="2"/>
  <c r="L31" i="2" s="1"/>
  <c r="G47" i="2"/>
  <c r="L47" i="2" s="1"/>
  <c r="G33" i="2"/>
  <c r="L33" i="2" s="1"/>
  <c r="G81" i="2"/>
  <c r="L81" i="2" s="1"/>
  <c r="G24" i="2"/>
  <c r="L24" i="2" s="1"/>
  <c r="G50" i="2"/>
  <c r="L50" i="2" s="1"/>
  <c r="G116" i="2"/>
  <c r="L116" i="2" s="1"/>
  <c r="G64" i="2"/>
  <c r="L64" i="2" s="1"/>
  <c r="G8" i="2"/>
  <c r="L8" i="2" s="1"/>
  <c r="G113" i="2"/>
  <c r="L113" i="2" s="1"/>
  <c r="G55" i="2"/>
  <c r="L55" i="2" s="1"/>
  <c r="G36" i="2"/>
  <c r="L36" i="2" s="1"/>
  <c r="G3" i="2"/>
  <c r="L3" i="2" s="1"/>
  <c r="G128" i="2"/>
  <c r="L128" i="2" s="1"/>
  <c r="G48" i="2"/>
  <c r="L48" i="2" s="1"/>
  <c r="G35" i="2"/>
  <c r="L35" i="2" s="1"/>
  <c r="G14" i="2"/>
  <c r="L14" i="2" s="1"/>
  <c r="G93" i="2"/>
  <c r="L93" i="2" s="1"/>
  <c r="G65" i="2"/>
  <c r="L65" i="2" s="1"/>
  <c r="G104" i="2"/>
  <c r="L104" i="2" s="1"/>
  <c r="G78" i="2"/>
  <c r="L78" i="2" s="1"/>
  <c r="G120" i="2"/>
  <c r="L120" i="2" s="1"/>
  <c r="G130" i="2"/>
  <c r="L130" i="2" s="1"/>
  <c r="G91" i="2"/>
  <c r="L91" i="2" s="1"/>
  <c r="G86" i="2"/>
  <c r="L86" i="2" s="1"/>
  <c r="G121" i="2"/>
  <c r="L121" i="2" s="1"/>
  <c r="G10" i="2"/>
  <c r="L10" i="2" s="1"/>
  <c r="G59" i="2"/>
  <c r="P59" i="2" s="1"/>
  <c r="G123" i="2"/>
  <c r="L123" i="2" s="1"/>
  <c r="G66" i="2"/>
  <c r="L66" i="2" s="1"/>
  <c r="G42" i="2"/>
  <c r="L42" i="2" s="1"/>
  <c r="G7" i="2"/>
  <c r="L7" i="2" s="1"/>
  <c r="G98" i="2"/>
  <c r="L98" i="2" s="1"/>
  <c r="G109" i="2"/>
  <c r="L109" i="2" s="1"/>
  <c r="G51" i="2"/>
  <c r="L51" i="2" s="1"/>
  <c r="G101" i="2"/>
  <c r="L101" i="2" s="1"/>
  <c r="G46" i="2"/>
  <c r="L46" i="2" s="1"/>
  <c r="G129" i="2"/>
  <c r="L129" i="2" s="1"/>
  <c r="G5" i="2"/>
  <c r="L5" i="2" s="1"/>
  <c r="G9" i="2"/>
  <c r="L9" i="2" s="1"/>
  <c r="G80" i="2"/>
  <c r="L80" i="2" s="1"/>
  <c r="G90" i="2"/>
  <c r="L90" i="2" s="1"/>
  <c r="G60" i="2"/>
  <c r="L60" i="2" s="1"/>
  <c r="G96" i="2"/>
  <c r="L96" i="2" s="1"/>
  <c r="G79" i="2"/>
  <c r="L79" i="2" s="1"/>
  <c r="G87" i="2"/>
  <c r="L87" i="2" s="1"/>
  <c r="G54" i="2"/>
  <c r="L54" i="2" s="1"/>
  <c r="G106" i="2"/>
  <c r="L106" i="2" s="1"/>
  <c r="G49" i="2"/>
  <c r="L49" i="2" s="1"/>
  <c r="G124" i="2"/>
  <c r="L124" i="2" s="1"/>
  <c r="G41" i="2"/>
  <c r="L41" i="2" s="1"/>
  <c r="G21" i="2"/>
  <c r="L21" i="2" s="1"/>
  <c r="P51" i="2" l="1"/>
  <c r="P28" i="2"/>
  <c r="P46" i="2"/>
  <c r="P88" i="2"/>
  <c r="P72" i="2"/>
  <c r="P99" i="2"/>
  <c r="P21" i="2"/>
  <c r="P102" i="2"/>
  <c r="P119" i="2"/>
  <c r="P129" i="2"/>
  <c r="P50" i="2"/>
  <c r="P68" i="2"/>
  <c r="P92" i="2"/>
  <c r="P89" i="2"/>
  <c r="P87" i="2"/>
  <c r="P32" i="2"/>
  <c r="P86" i="2"/>
  <c r="P5" i="2"/>
  <c r="P125" i="2"/>
  <c r="L83" i="2"/>
  <c r="P48" i="2"/>
  <c r="P60" i="2"/>
  <c r="P93" i="2"/>
  <c r="P100" i="2"/>
  <c r="P42" i="2"/>
  <c r="P11" i="2"/>
  <c r="P24" i="2"/>
  <c r="P113" i="2"/>
  <c r="P117" i="2"/>
  <c r="P4" i="2"/>
  <c r="P124" i="2"/>
  <c r="P43" i="2"/>
  <c r="P78" i="2"/>
  <c r="P45" i="2"/>
  <c r="P41" i="2"/>
  <c r="P49" i="2"/>
  <c r="P103" i="2"/>
  <c r="P118" i="2"/>
  <c r="P6" i="2"/>
  <c r="P54" i="2"/>
  <c r="P67" i="2"/>
  <c r="P81" i="2"/>
  <c r="P74" i="2"/>
  <c r="P35" i="2"/>
  <c r="P95" i="2"/>
  <c r="P34" i="2"/>
  <c r="P105" i="2"/>
  <c r="P10" i="2"/>
  <c r="P126" i="2"/>
  <c r="P12" i="2"/>
  <c r="P55" i="2"/>
  <c r="P69" i="2"/>
  <c r="P31" i="2"/>
  <c r="P52" i="2"/>
  <c r="P66" i="2"/>
  <c r="P22" i="2"/>
  <c r="P37" i="2"/>
  <c r="P16" i="2"/>
  <c r="P2" i="2"/>
  <c r="P110" i="2"/>
  <c r="P128" i="2"/>
  <c r="L59" i="2"/>
  <c r="P57" i="2"/>
  <c r="P61" i="2"/>
  <c r="P79" i="2"/>
  <c r="P77" i="2"/>
  <c r="P15" i="2"/>
  <c r="P7" i="2"/>
  <c r="P114" i="2"/>
  <c r="P127" i="2"/>
  <c r="P14" i="2"/>
  <c r="P58" i="2"/>
  <c r="P64" i="2"/>
  <c r="P63" i="2"/>
  <c r="P30" i="2"/>
  <c r="P36" i="2"/>
  <c r="P90" i="2"/>
  <c r="P27" i="2"/>
  <c r="P18" i="2"/>
  <c r="P3" i="2"/>
  <c r="P120" i="2"/>
  <c r="P121" i="2"/>
  <c r="P53" i="2"/>
  <c r="P44" i="2"/>
  <c r="P75" i="2"/>
  <c r="P85" i="2"/>
  <c r="P76" i="2"/>
  <c r="P20" i="2"/>
  <c r="P40" i="2"/>
  <c r="P98" i="2"/>
  <c r="P108" i="2"/>
  <c r="P9" i="2"/>
  <c r="P13" i="2"/>
  <c r="P56" i="2"/>
  <c r="P71" i="2"/>
  <c r="P82" i="2"/>
  <c r="P19" i="2"/>
  <c r="P29" i="2"/>
  <c r="P25" i="2"/>
  <c r="P33" i="2"/>
  <c r="P106" i="2"/>
  <c r="P116" i="2"/>
  <c r="P123" i="2"/>
  <c r="P111" i="2"/>
  <c r="P62" i="2"/>
  <c r="P73" i="2"/>
  <c r="P65" i="2"/>
  <c r="P94" i="2"/>
  <c r="P96" i="2"/>
  <c r="P104" i="2"/>
  <c r="P26" i="2"/>
  <c r="P101" i="2"/>
  <c r="P109" i="2"/>
  <c r="P8" i="2"/>
  <c r="P122" i="2"/>
  <c r="P47" i="2"/>
  <c r="P70" i="2"/>
  <c r="P80" i="2"/>
  <c r="P84" i="2"/>
  <c r="P91" i="2"/>
  <c r="P38" i="2"/>
  <c r="P23" i="2"/>
  <c r="P112" i="2"/>
  <c r="P115" i="2"/>
  <c r="P130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2" i="3"/>
  <c r="B63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18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131" i="2"/>
</calcChain>
</file>

<file path=xl/sharedStrings.xml><?xml version="1.0" encoding="utf-8"?>
<sst xmlns="http://schemas.openxmlformats.org/spreadsheetml/2006/main" count="558" uniqueCount="329">
  <si>
    <t>H3 (Pan-Himalayan) Network Centrality Project — Data Collection Guide (v3)</t>
  </si>
  <si>
    <t>SHEET: Airport Parameters</t>
  </si>
  <si>
    <t>All 129 airports H3 holds gates at are pre-filled (IATA, name, lat, lon — real</t>
  </si>
  <si>
    <t>coordinates, already joined). You only need to fill in:</t>
  </si>
  <si>
    <t xml:space="preserve">  H3 weekly pax — your own passengers per week at that destination.</t>
  </si>
  <si>
    <t xml:space="preserve">  H3 market share % — read off that airport's competitor list in-game.</t>
  </si>
  <si>
    <t xml:space="preserve">  Airport rank / Airport rank % — the in-game rank stat (secondary check only,</t>
  </si>
  <si>
    <t xml:space="preserve">    used to test the Zipf/power-law hunch, NOT the primary size term).</t>
  </si>
  <si>
    <t>Total weekly pax fills in automatically once the two columns above are entered.</t>
  </si>
  <si>
    <t>SHEET: Calibration Routes</t>
  </si>
  <si>
    <t>60 pairs are pre-selected for distance and size spread (using gate weekly cost as a</t>
  </si>
  <si>
    <t>size stand-in until real data exists) — only 1 pair touches KTM, deliberately, so</t>
  </si>
  <si>
    <t>the model doesn't just relearn H3's own hub-and-spoke shape. Just fill in the demand</t>
  </si>
  <si>
    <t>number from Route Research for each pair. Distance is already computed.</t>
  </si>
  <si>
    <t>IATA</t>
  </si>
  <si>
    <t>Airport name</t>
  </si>
  <si>
    <t>Lat</t>
  </si>
  <si>
    <t>Lon</t>
  </si>
  <si>
    <t>H3 weekly pax</t>
  </si>
  <si>
    <t>H3 market share %</t>
  </si>
  <si>
    <t>Total weekly pax (computed)</t>
  </si>
  <si>
    <t>Airport rank</t>
  </si>
  <si>
    <t>Airport rank %</t>
  </si>
  <si>
    <t>Date collected</t>
  </si>
  <si>
    <t>Notes</t>
  </si>
  <si>
    <t>ABZ</t>
  </si>
  <si>
    <t>Aberdeen International Airport</t>
  </si>
  <si>
    <t>AJL</t>
  </si>
  <si>
    <t>Lengpui Airport</t>
  </si>
  <si>
    <t>AKU</t>
  </si>
  <si>
    <t>Akesu Hongqipo Airport</t>
  </si>
  <si>
    <t>AKY</t>
  </si>
  <si>
    <t>Sittwe Airport</t>
  </si>
  <si>
    <t>ALA</t>
  </si>
  <si>
    <t>Almaty International Airport</t>
  </si>
  <si>
    <t>AMM</t>
  </si>
  <si>
    <t>Queen Alia International Airport</t>
  </si>
  <si>
    <t>ATL</t>
  </si>
  <si>
    <t>Hartsfield-Jackson Atlanta International Airport</t>
  </si>
  <si>
    <t>BBI</t>
  </si>
  <si>
    <t>Biju Patnaik Airport</t>
  </si>
  <si>
    <t>BEY</t>
  </si>
  <si>
    <t>Beirut–Rafic Hariri International Airport</t>
  </si>
  <si>
    <t>BGW</t>
  </si>
  <si>
    <t>Baghdad International Airport</t>
  </si>
  <si>
    <t>BHK</t>
  </si>
  <si>
    <t>Bukhara International Airport</t>
  </si>
  <si>
    <t>BKK</t>
  </si>
  <si>
    <t>Suvarnabhumi Airport</t>
  </si>
  <si>
    <t>BLR</t>
  </si>
  <si>
    <t>Kempegowda International Airport</t>
  </si>
  <si>
    <t>BOM</t>
  </si>
  <si>
    <t>Chhatrapati Shivaji Maharaj International Airport</t>
  </si>
  <si>
    <t>BPX</t>
  </si>
  <si>
    <t>Changdu Bamda Airport</t>
  </si>
  <si>
    <t>BSZ</t>
  </si>
  <si>
    <t>Manas International Airport</t>
  </si>
  <si>
    <t>BWA</t>
  </si>
  <si>
    <t>Gautam Buddha Airport</t>
  </si>
  <si>
    <t>CAN</t>
  </si>
  <si>
    <t>Guangzhou Baiyun International Airport</t>
  </si>
  <si>
    <t>CCU</t>
  </si>
  <si>
    <t>Netaji Subhas Chandra Bose International Airport</t>
  </si>
  <si>
    <t>CEI</t>
  </si>
  <si>
    <t>Mae Fah Luang - Chiang Rai International Airport</t>
  </si>
  <si>
    <t>CGK</t>
  </si>
  <si>
    <t>Soekarno–Hatta International Airport</t>
  </si>
  <si>
    <t>CGP</t>
  </si>
  <si>
    <t>Shah Amanat International Airport</t>
  </si>
  <si>
    <t>CJB</t>
  </si>
  <si>
    <t>Coimbatore International Airport</t>
  </si>
  <si>
    <t>CMB</t>
  </si>
  <si>
    <t>Bandaranaike International Airport</t>
  </si>
  <si>
    <t>CNX</t>
  </si>
  <si>
    <t>Chiang Mai International Airport</t>
  </si>
  <si>
    <t>CTU</t>
  </si>
  <si>
    <t>Chengdu Shuangliu International Airport</t>
  </si>
  <si>
    <t>CXB</t>
  </si>
  <si>
    <t>Cox's Bazar Airport</t>
  </si>
  <si>
    <t>DAC</t>
  </si>
  <si>
    <t>Hazrat Shahjalal International Airport</t>
  </si>
  <si>
    <t>DAM</t>
  </si>
  <si>
    <t>Damascus International Airport</t>
  </si>
  <si>
    <t>DCY</t>
  </si>
  <si>
    <t>Daocheng Yading Airport</t>
  </si>
  <si>
    <t>DED</t>
  </si>
  <si>
    <t>Dehradun Airport</t>
  </si>
  <si>
    <t>DEL</t>
  </si>
  <si>
    <t>Indira Gandhi International Airport</t>
  </si>
  <si>
    <t>DIB</t>
  </si>
  <si>
    <t>Dibrugarh Airport</t>
  </si>
  <si>
    <t>DIG</t>
  </si>
  <si>
    <t>Diqing Shangri-La Airport</t>
  </si>
  <si>
    <t>DLU</t>
  </si>
  <si>
    <t>Dali Fengyi Airport</t>
  </si>
  <si>
    <t>DMU</t>
  </si>
  <si>
    <t>Dimapur Airport</t>
  </si>
  <si>
    <t>DOH</t>
  </si>
  <si>
    <t>Hamad International Airport</t>
  </si>
  <si>
    <t>DXB</t>
  </si>
  <si>
    <t>Dubai International Airport</t>
  </si>
  <si>
    <t>DYU</t>
  </si>
  <si>
    <t>Dushanbe International Airport</t>
  </si>
  <si>
    <t>EDI</t>
  </si>
  <si>
    <t>Edinburgh Airport</t>
  </si>
  <si>
    <t>ELP</t>
  </si>
  <si>
    <t>El Paso International Airport</t>
  </si>
  <si>
    <t>ESB</t>
  </si>
  <si>
    <t>FAE</t>
  </si>
  <si>
    <t>Vágar Airport</t>
  </si>
  <si>
    <t>FNJ</t>
  </si>
  <si>
    <t>Pyongyang International Airport</t>
  </si>
  <si>
    <t>GAU</t>
  </si>
  <si>
    <t>Lokpriya Gopinath Bordoloi International Airport</t>
  </si>
  <si>
    <t>GOQ</t>
  </si>
  <si>
    <t>Golmud Airport</t>
  </si>
  <si>
    <t>GYD</t>
  </si>
  <si>
    <t>Baku Heydar Aliyev International Airport</t>
  </si>
  <si>
    <t>GZG</t>
  </si>
  <si>
    <t>Garze Gesar Airport</t>
  </si>
  <si>
    <t>HAN</t>
  </si>
  <si>
    <t>Nội Bài International Airport</t>
  </si>
  <si>
    <t>HGI</t>
  </si>
  <si>
    <t>Donyi Polo Airport, Itanagar</t>
  </si>
  <si>
    <t>HKG</t>
  </si>
  <si>
    <t>Hong Kong International Airport</t>
  </si>
  <si>
    <t>HKT</t>
  </si>
  <si>
    <t>Phuket International Airport</t>
  </si>
  <si>
    <t>HQL</t>
  </si>
  <si>
    <t>Tashkurgan Khunjerab Airport</t>
  </si>
  <si>
    <t>HTN</t>
  </si>
  <si>
    <t>Hetian Kungang Airport</t>
  </si>
  <si>
    <t>HYD</t>
  </si>
  <si>
    <t>Rajiv Gandhi International Airport</t>
  </si>
  <si>
    <t>ICN</t>
  </si>
  <si>
    <t>Incheon International Airport</t>
  </si>
  <si>
    <t>IKA</t>
  </si>
  <si>
    <t>Tehran Imam Khomeini International Airport</t>
  </si>
  <si>
    <t>IKU</t>
  </si>
  <si>
    <t>Issyk-Kul International Airport</t>
  </si>
  <si>
    <t>IMF</t>
  </si>
  <si>
    <t>Bir Tikendrajit International Airport</t>
  </si>
  <si>
    <t>INN</t>
  </si>
  <si>
    <t>Innsbruck Airport</t>
  </si>
  <si>
    <t>INV</t>
  </si>
  <si>
    <t>Inverness Airport</t>
  </si>
  <si>
    <t>ISB</t>
  </si>
  <si>
    <t>Islamabad International Airport</t>
  </si>
  <si>
    <t>IST</t>
  </si>
  <si>
    <t>Istanbul Airport</t>
  </si>
  <si>
    <t>IXA</t>
  </si>
  <si>
    <t>Maharaja Bir Bikram Airport</t>
  </si>
  <si>
    <t>IXB</t>
  </si>
  <si>
    <t>Bagdogra Airport</t>
  </si>
  <si>
    <t>IXI</t>
  </si>
  <si>
    <t>Lilabari Airport</t>
  </si>
  <si>
    <t>IXL</t>
  </si>
  <si>
    <t>Kushok Bakula Rimpochee Airport</t>
  </si>
  <si>
    <t>IXS</t>
  </si>
  <si>
    <t>Silchar Airport</t>
  </si>
  <si>
    <t>JED</t>
  </si>
  <si>
    <t>King Abdulaziz International Airport</t>
  </si>
  <si>
    <t>JFK</t>
  </si>
  <si>
    <t>John F. Kennedy International Airport</t>
  </si>
  <si>
    <t>JNB</t>
  </si>
  <si>
    <t>O. R. Tambo International Airport</t>
  </si>
  <si>
    <t>JRH</t>
  </si>
  <si>
    <t>Jorhat Airport</t>
  </si>
  <si>
    <t>KBL</t>
  </si>
  <si>
    <t>Kabul International Airport</t>
  </si>
  <si>
    <t>KDH</t>
  </si>
  <si>
    <t>Ahmad Shah Baba International Airport</t>
  </si>
  <si>
    <t>KDU</t>
  </si>
  <si>
    <t>Skardu International Airport</t>
  </si>
  <si>
    <t>KHG</t>
  </si>
  <si>
    <t>Kashi Laining International Airport</t>
  </si>
  <si>
    <t>KHI</t>
  </si>
  <si>
    <t>Jinnah International Airport</t>
  </si>
  <si>
    <t>KMG</t>
  </si>
  <si>
    <t>Kunming Changshui International Airport</t>
  </si>
  <si>
    <t>KTI</t>
  </si>
  <si>
    <t>Techo International Airport</t>
  </si>
  <si>
    <t>KTM</t>
  </si>
  <si>
    <t>Tribhuvan International Airport</t>
  </si>
  <si>
    <t>KUL</t>
  </si>
  <si>
    <t>Kuala Lumpur International Airport</t>
  </si>
  <si>
    <t>LAX</t>
  </si>
  <si>
    <t>Los Angeles International Airport</t>
  </si>
  <si>
    <t>LHE</t>
  </si>
  <si>
    <t>Allama Iqbal International Airport</t>
  </si>
  <si>
    <t>LHR</t>
  </si>
  <si>
    <t>Heathrow Airport</t>
  </si>
  <si>
    <t>LPQ</t>
  </si>
  <si>
    <t>Luang Prabang International Airport</t>
  </si>
  <si>
    <t>LXA</t>
  </si>
  <si>
    <t>Lhasa Gonggar Airport</t>
  </si>
  <si>
    <t>LYR</t>
  </si>
  <si>
    <t>Svalbard Airport</t>
  </si>
  <si>
    <t>LZY</t>
  </si>
  <si>
    <t>Nyingchi Mianling Airport</t>
  </si>
  <si>
    <t>MAA</t>
  </si>
  <si>
    <t>Chennai International Airport</t>
  </si>
  <si>
    <t>MCT</t>
  </si>
  <si>
    <t>Muscat International Airport</t>
  </si>
  <si>
    <t>MDL</t>
  </si>
  <si>
    <t>Mandalay International Airport</t>
  </si>
  <si>
    <t>MLE</t>
  </si>
  <si>
    <t>Velana International Airport</t>
  </si>
  <si>
    <t>MNL</t>
  </si>
  <si>
    <t>Ninoy Aquino International Airport</t>
  </si>
  <si>
    <t>MYT</t>
  </si>
  <si>
    <t>Myitkyina Airport</t>
  </si>
  <si>
    <t>NGQ</t>
  </si>
  <si>
    <t>Ali Kunsha Airport</t>
  </si>
  <si>
    <t>NMA</t>
  </si>
  <si>
    <t>Namangan Airport</t>
  </si>
  <si>
    <t>NQZ</t>
  </si>
  <si>
    <t>Nursultan Nazarbayev International Airport</t>
  </si>
  <si>
    <t>NRT</t>
  </si>
  <si>
    <t>Narita International Airport</t>
  </si>
  <si>
    <t>NUM</t>
  </si>
  <si>
    <t>Neom Airport</t>
  </si>
  <si>
    <t>NYT</t>
  </si>
  <si>
    <t>Nay Pyi Taw International Airport</t>
  </si>
  <si>
    <t>OSS</t>
  </si>
  <si>
    <t>Osh International Airport</t>
  </si>
  <si>
    <t>PBH</t>
  </si>
  <si>
    <t>Paro International Airport</t>
  </si>
  <si>
    <t>PEK</t>
  </si>
  <si>
    <t>Beijing Capital International Airport</t>
  </si>
  <si>
    <t>PEW</t>
  </si>
  <si>
    <t>Bacha Khan International Airport</t>
  </si>
  <si>
    <t>PHH</t>
  </si>
  <si>
    <t>Pokhara International Airport</t>
  </si>
  <si>
    <t>PVG</t>
  </si>
  <si>
    <t>Shanghai Pudong International Airport</t>
  </si>
  <si>
    <t>RGN</t>
  </si>
  <si>
    <t>Yangon International Airport</t>
  </si>
  <si>
    <t>RKZ</t>
  </si>
  <si>
    <t>Rikaze Peace Airport</t>
  </si>
  <si>
    <t>ROR</t>
  </si>
  <si>
    <t>Roman Tmetuchl International Airport</t>
  </si>
  <si>
    <t>RUH</t>
  </si>
  <si>
    <t>King Khalid International Airport</t>
  </si>
  <si>
    <t>RVN</t>
  </si>
  <si>
    <t>Rovaniemi Airport</t>
  </si>
  <si>
    <t>SAI</t>
  </si>
  <si>
    <t>Siem Reap–Angkor International Airport</t>
  </si>
  <si>
    <t>SGN</t>
  </si>
  <si>
    <t>Tân Sơn Nhất International Airport</t>
  </si>
  <si>
    <t>SHL</t>
  </si>
  <si>
    <t>Shillong Airport</t>
  </si>
  <si>
    <t>SIN</t>
  </si>
  <si>
    <t>Singapore Changi Airport</t>
  </si>
  <si>
    <t>SKD</t>
  </si>
  <si>
    <t>Samarkand International Airport</t>
  </si>
  <si>
    <t>SXR</t>
  </si>
  <si>
    <t>Srinagar Airport</t>
  </si>
  <si>
    <t>SYD</t>
  </si>
  <si>
    <t>Sydney (Kingsford Smith) Airport</t>
  </si>
  <si>
    <t>TAS</t>
  </si>
  <si>
    <t>Islam Karimov Tashkent International Airport</t>
  </si>
  <si>
    <t>TBS</t>
  </si>
  <si>
    <t>Shota Rustaveli Tbilisi International Airport</t>
  </si>
  <si>
    <t>TEZ</t>
  </si>
  <si>
    <t>Tezpur Airport</t>
  </si>
  <si>
    <t>TJU</t>
  </si>
  <si>
    <t>Kulob Airport</t>
  </si>
  <si>
    <t>TPE</t>
  </si>
  <si>
    <t>Taiwan Taoyuan International Airport</t>
  </si>
  <si>
    <t>TRV</t>
  </si>
  <si>
    <t>Thiruvananthapuram International Airport</t>
  </si>
  <si>
    <t>UBN</t>
  </si>
  <si>
    <t>Chinggis Khaan International Airport</t>
  </si>
  <si>
    <t>URC</t>
  </si>
  <si>
    <t>Ürümqi Diwopu International Airport</t>
  </si>
  <si>
    <t>VTE</t>
  </si>
  <si>
    <t>Wattay International Airport</t>
  </si>
  <si>
    <t>YUS</t>
  </si>
  <si>
    <t>Yushu Batang Airport</t>
  </si>
  <si>
    <t>ZYL</t>
  </si>
  <si>
    <t>Osmani International Airport</t>
  </si>
  <si>
    <t>Filled:</t>
  </si>
  <si>
    <t>Origin IATA</t>
  </si>
  <si>
    <t>Destination IATA</t>
  </si>
  <si>
    <t>Distance nm (computed)</t>
  </si>
  <si>
    <r>
      <t>Ankara Esenbo</t>
    </r>
    <r>
      <rPr>
        <sz val="12"/>
        <color theme="1"/>
        <rFont val="Microsoft Himalaya"/>
        <family val="4"/>
        <charset val="134"/>
      </rPr>
      <t>ğ</t>
    </r>
    <r>
      <rPr>
        <sz val="16"/>
        <color theme="1"/>
        <rFont val="Microsoft Himalaya"/>
        <family val="4"/>
        <charset val="134"/>
      </rPr>
      <t>a Airport</t>
    </r>
  </si>
  <si>
    <t>Max Pax per Flight</t>
  </si>
  <si>
    <t>Moderate competition for Y, Y+, low overall demanc</t>
  </si>
  <si>
    <t>Parameter</t>
  </si>
  <si>
    <t>Value</t>
  </si>
  <si>
    <t>Intercept Estimate</t>
  </si>
  <si>
    <t>Log_Distance Estimate</t>
  </si>
  <si>
    <t>&lt;0.0001</t>
  </si>
  <si>
    <t>-</t>
  </si>
  <si>
    <t>C</t>
  </si>
  <si>
    <t>k</t>
  </si>
  <si>
    <t>log(weeklyPax)</t>
  </si>
  <si>
    <t>log(Rank)</t>
  </si>
  <si>
    <t>Annual Passengers (Real World)</t>
  </si>
  <si>
    <t>log(AnnualPax)</t>
  </si>
  <si>
    <t>Origin Size (in-game)</t>
  </si>
  <si>
    <t>Destination Size (in-game)</t>
  </si>
  <si>
    <t>Origin Size (Real-world)</t>
  </si>
  <si>
    <t>Destination Size (Real-world)</t>
  </si>
  <si>
    <t>In-Game Full Analysis</t>
  </si>
  <si>
    <t>Model Param.</t>
  </si>
  <si>
    <t>RSquare</t>
  </si>
  <si>
    <t>RMSE</t>
  </si>
  <si>
    <t>Intercept Prob&gt;|t|</t>
  </si>
  <si>
    <t>Log_Distance Prob&gt;|t|</t>
  </si>
  <si>
    <t>Log_Osize_game Prob&gt;|t|</t>
  </si>
  <si>
    <t>Log_Osize_game Estimate</t>
  </si>
  <si>
    <t>Log_Dsize_game Estimate</t>
  </si>
  <si>
    <t>Log_Dsize_game Prob&gt;|t|</t>
  </si>
  <si>
    <t>In-Game Partial Analysis</t>
  </si>
  <si>
    <t>Real World Full Analysis</t>
  </si>
  <si>
    <t>Log_Osize_real Estimate</t>
  </si>
  <si>
    <t>Log_Osize_real Prob&gt;|t|</t>
  </si>
  <si>
    <t>Log_Dsize_real Estimate</t>
  </si>
  <si>
    <t>Log_Dsize_real Prob&gt;|t|</t>
  </si>
  <si>
    <t>Real World Partial Analysis</t>
  </si>
  <si>
    <t>α_o</t>
  </si>
  <si>
    <t>α_d</t>
  </si>
  <si>
    <t>In-Game Partial, Actual vs. Predicted</t>
  </si>
  <si>
    <t>Real-World Partial, Actual vs. Predicted</t>
  </si>
  <si>
    <t>Zipf Check</t>
  </si>
  <si>
    <t>Spearman_rho</t>
  </si>
  <si>
    <t>Divergence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</si>
</sst>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6"/>
      <color theme="1"/>
      <name val="Microsoft Himalaya"/>
      <family val="4"/>
      <charset val="134"/>
    </font>
    <font>
      <b/>
      <sz val="16"/>
      <name val="Microsoft Himalaya"/>
      <family val="4"/>
      <charset val="134"/>
    </font>
    <font>
      <b/>
      <sz val="20"/>
      <color rgb="FFC7C9D3"/>
      <name val="Microsoft Himalaya"/>
      <family val="4"/>
      <charset val="134"/>
    </font>
    <font>
      <sz val="20"/>
      <color rgb="FFC7C9D3"/>
      <name val="Microsoft Himalaya"/>
      <family val="4"/>
      <charset val="134"/>
    </font>
    <font>
      <b/>
      <sz val="20"/>
      <color theme="1"/>
      <name val="Microsoft Himalaya"/>
      <family val="4"/>
      <charset val="134"/>
    </font>
    <font>
      <sz val="12"/>
      <color theme="1"/>
      <name val="Microsoft Himalaya"/>
      <family val="4"/>
      <charset val="134"/>
    </font>
    <font>
      <i/>
      <sz val="16"/>
      <color theme="1"/>
      <name val="Microsoft Himalaya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5B158A"/>
        <bgColor rgb="FF008080"/>
      </patternFill>
    </fill>
    <fill>
      <patternFill patternType="solid">
        <fgColor rgb="FF5B158A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wrapText="1"/>
    </xf>
    <xf numFmtId="0" fontId="8" fillId="0" borderId="0" xfId="0" applyFont="1"/>
    <xf numFmtId="20" fontId="4" fillId="0" borderId="1" xfId="0" applyNumberFormat="1" applyFont="1" applyBorder="1"/>
    <xf numFmtId="1" fontId="4" fillId="0" borderId="1" xfId="0" applyNumberFormat="1" applyFont="1" applyBorder="1"/>
    <xf numFmtId="0" fontId="7" fillId="3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0" xfId="0" applyFont="1" applyBorder="1"/>
    <xf numFmtId="43" fontId="4" fillId="0" borderId="0" xfId="0" applyNumberFormat="1" applyFont="1"/>
    <xf numFmtId="41" fontId="6" fillId="2" borderId="1" xfId="0" applyNumberFormat="1" applyFont="1" applyFill="1" applyBorder="1" applyAlignment="1">
      <alignment horizontal="center" wrapText="1"/>
    </xf>
    <xf numFmtId="41" fontId="4" fillId="0" borderId="1" xfId="0" applyNumberFormat="1" applyFont="1" applyBorder="1"/>
    <xf numFmtId="41" fontId="4" fillId="0" borderId="0" xfId="0" applyNumberFormat="1" applyFont="1" applyBorder="1"/>
    <xf numFmtId="41" fontId="4" fillId="0" borderId="0" xfId="0" applyNumberFormat="1" applyFont="1"/>
    <xf numFmtId="0" fontId="5" fillId="0" borderId="0" xfId="0" applyFont="1" applyBorder="1"/>
    <xf numFmtId="0" fontId="4" fillId="0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7C9D3"/>
      <color rgb="FF5B15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Negative Divergence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'Airport Parameters'!$A$2:$A$132</c:f>
              <c:strCache>
                <c:ptCount val="130"/>
                <c:pt idx="0">
                  <c:v>MAA</c:v>
                </c:pt>
                <c:pt idx="1">
                  <c:v>HYD</c:v>
                </c:pt>
                <c:pt idx="2">
                  <c:v>SIN</c:v>
                </c:pt>
                <c:pt idx="3">
                  <c:v>BLR</c:v>
                </c:pt>
                <c:pt idx="4">
                  <c:v>PEK</c:v>
                </c:pt>
                <c:pt idx="5">
                  <c:v>CMB</c:v>
                </c:pt>
                <c:pt idx="6">
                  <c:v>HKG</c:v>
                </c:pt>
                <c:pt idx="7">
                  <c:v>BOM</c:v>
                </c:pt>
                <c:pt idx="8">
                  <c:v>CCU</c:v>
                </c:pt>
                <c:pt idx="9">
                  <c:v>TRV</c:v>
                </c:pt>
                <c:pt idx="10">
                  <c:v>LAX</c:v>
                </c:pt>
                <c:pt idx="11">
                  <c:v>IST</c:v>
                </c:pt>
                <c:pt idx="12">
                  <c:v>DEL</c:v>
                </c:pt>
                <c:pt idx="13">
                  <c:v>MLE</c:v>
                </c:pt>
                <c:pt idx="14">
                  <c:v>TAS</c:v>
                </c:pt>
                <c:pt idx="15">
                  <c:v>ELP</c:v>
                </c:pt>
                <c:pt idx="16">
                  <c:v>KTM</c:v>
                </c:pt>
                <c:pt idx="17">
                  <c:v>KBL</c:v>
                </c:pt>
                <c:pt idx="18">
                  <c:v>RGN</c:v>
                </c:pt>
                <c:pt idx="19">
                  <c:v>BEY</c:v>
                </c:pt>
                <c:pt idx="20">
                  <c:v>IXB</c:v>
                </c:pt>
                <c:pt idx="21">
                  <c:v>ESB</c:v>
                </c:pt>
                <c:pt idx="22">
                  <c:v>GYD</c:v>
                </c:pt>
                <c:pt idx="23">
                  <c:v>LHE</c:v>
                </c:pt>
                <c:pt idx="24">
                  <c:v>ISB</c:v>
                </c:pt>
                <c:pt idx="25">
                  <c:v>KHI</c:v>
                </c:pt>
                <c:pt idx="26">
                  <c:v>PBH</c:v>
                </c:pt>
                <c:pt idx="27">
                  <c:v>UBN</c:v>
                </c:pt>
                <c:pt idx="28">
                  <c:v>IXL</c:v>
                </c:pt>
                <c:pt idx="29">
                  <c:v>FAE</c:v>
                </c:pt>
                <c:pt idx="30">
                  <c:v>SXR</c:v>
                </c:pt>
                <c:pt idx="31">
                  <c:v>GAU</c:v>
                </c:pt>
                <c:pt idx="32">
                  <c:v>KTI</c:v>
                </c:pt>
                <c:pt idx="33">
                  <c:v>DED</c:v>
                </c:pt>
                <c:pt idx="34">
                  <c:v>HTN</c:v>
                </c:pt>
                <c:pt idx="35">
                  <c:v>TBS</c:v>
                </c:pt>
                <c:pt idx="36">
                  <c:v>LXA</c:v>
                </c:pt>
                <c:pt idx="37">
                  <c:v>BGW</c:v>
                </c:pt>
                <c:pt idx="38">
                  <c:v>KHG</c:v>
                </c:pt>
                <c:pt idx="39">
                  <c:v>BBI</c:v>
                </c:pt>
                <c:pt idx="40">
                  <c:v>CJB</c:v>
                </c:pt>
                <c:pt idx="41">
                  <c:v>NMA</c:v>
                </c:pt>
                <c:pt idx="42">
                  <c:v>LYR</c:v>
                </c:pt>
                <c:pt idx="43">
                  <c:v>PEW</c:v>
                </c:pt>
                <c:pt idx="44">
                  <c:v>BHK</c:v>
                </c:pt>
                <c:pt idx="45">
                  <c:v>FNJ</c:v>
                </c:pt>
                <c:pt idx="46">
                  <c:v>DCY</c:v>
                </c:pt>
                <c:pt idx="47">
                  <c:v>AMM</c:v>
                </c:pt>
                <c:pt idx="48">
                  <c:v>GZG</c:v>
                </c:pt>
                <c:pt idx="49">
                  <c:v>CXB</c:v>
                </c:pt>
                <c:pt idx="50">
                  <c:v>LZY</c:v>
                </c:pt>
                <c:pt idx="51">
                  <c:v>TEZ</c:v>
                </c:pt>
                <c:pt idx="52">
                  <c:v>AKY</c:v>
                </c:pt>
                <c:pt idx="53">
                  <c:v>HQL</c:v>
                </c:pt>
                <c:pt idx="54">
                  <c:v>IKU</c:v>
                </c:pt>
                <c:pt idx="55">
                  <c:v>TJU</c:v>
                </c:pt>
                <c:pt idx="56">
                  <c:v>NUM</c:v>
                </c:pt>
                <c:pt idx="57">
                  <c:v>CEI</c:v>
                </c:pt>
                <c:pt idx="58">
                  <c:v>BWA</c:v>
                </c:pt>
                <c:pt idx="59">
                  <c:v>KDU</c:v>
                </c:pt>
                <c:pt idx="60">
                  <c:v>IXI</c:v>
                </c:pt>
                <c:pt idx="61">
                  <c:v>ROR</c:v>
                </c:pt>
                <c:pt idx="62">
                  <c:v>HGI</c:v>
                </c:pt>
                <c:pt idx="63">
                  <c:v>DIG</c:v>
                </c:pt>
                <c:pt idx="64">
                  <c:v>CGP</c:v>
                </c:pt>
                <c:pt idx="65">
                  <c:v>MYT</c:v>
                </c:pt>
                <c:pt idx="66">
                  <c:v>NGQ</c:v>
                </c:pt>
                <c:pt idx="67">
                  <c:v>RKZ</c:v>
                </c:pt>
                <c:pt idx="68">
                  <c:v>JRH</c:v>
                </c:pt>
                <c:pt idx="69">
                  <c:v>SHL</c:v>
                </c:pt>
                <c:pt idx="70">
                  <c:v>VTE</c:v>
                </c:pt>
                <c:pt idx="71">
                  <c:v>PHH</c:v>
                </c:pt>
                <c:pt idx="72">
                  <c:v>RVN</c:v>
                </c:pt>
                <c:pt idx="73">
                  <c:v>YUS</c:v>
                </c:pt>
                <c:pt idx="74">
                  <c:v>KDH</c:v>
                </c:pt>
                <c:pt idx="75">
                  <c:v>LPQ</c:v>
                </c:pt>
                <c:pt idx="76">
                  <c:v>DMU</c:v>
                </c:pt>
                <c:pt idx="77">
                  <c:v>AJL</c:v>
                </c:pt>
                <c:pt idx="78">
                  <c:v>BPX</c:v>
                </c:pt>
                <c:pt idx="79">
                  <c:v>GOQ</c:v>
                </c:pt>
                <c:pt idx="80">
                  <c:v>IXS</c:v>
                </c:pt>
                <c:pt idx="81">
                  <c:v>INV</c:v>
                </c:pt>
                <c:pt idx="82">
                  <c:v>IMF</c:v>
                </c:pt>
                <c:pt idx="83">
                  <c:v>INN</c:v>
                </c:pt>
                <c:pt idx="84">
                  <c:v>EDI</c:v>
                </c:pt>
                <c:pt idx="85">
                  <c:v>AKU</c:v>
                </c:pt>
                <c:pt idx="86">
                  <c:v>SKD</c:v>
                </c:pt>
                <c:pt idx="87">
                  <c:v>MDL</c:v>
                </c:pt>
                <c:pt idx="88">
                  <c:v>BSZ</c:v>
                </c:pt>
                <c:pt idx="89">
                  <c:v>DYU</c:v>
                </c:pt>
                <c:pt idx="90">
                  <c:v>ZYL</c:v>
                </c:pt>
                <c:pt idx="91">
                  <c:v>DIB</c:v>
                </c:pt>
                <c:pt idx="92">
                  <c:v>OSS</c:v>
                </c:pt>
                <c:pt idx="93">
                  <c:v>NYT</c:v>
                </c:pt>
                <c:pt idx="94">
                  <c:v>ABZ</c:v>
                </c:pt>
                <c:pt idx="95">
                  <c:v>DAM</c:v>
                </c:pt>
                <c:pt idx="96">
                  <c:v>CNX</c:v>
                </c:pt>
                <c:pt idx="97">
                  <c:v>SAI</c:v>
                </c:pt>
                <c:pt idx="98">
                  <c:v>IXA</c:v>
                </c:pt>
                <c:pt idx="99">
                  <c:v>DAC</c:v>
                </c:pt>
                <c:pt idx="100">
                  <c:v>MCT</c:v>
                </c:pt>
                <c:pt idx="101">
                  <c:v>JNB</c:v>
                </c:pt>
                <c:pt idx="102">
                  <c:v>DLU</c:v>
                </c:pt>
                <c:pt idx="103">
                  <c:v>NQZ</c:v>
                </c:pt>
                <c:pt idx="104">
                  <c:v>ALA</c:v>
                </c:pt>
                <c:pt idx="105">
                  <c:v>IKA</c:v>
                </c:pt>
                <c:pt idx="106">
                  <c:v>URC</c:v>
                </c:pt>
                <c:pt idx="107">
                  <c:v>CTU</c:v>
                </c:pt>
                <c:pt idx="108">
                  <c:v>MNL</c:v>
                </c:pt>
                <c:pt idx="109">
                  <c:v>LHR</c:v>
                </c:pt>
                <c:pt idx="110">
                  <c:v>NRT</c:v>
                </c:pt>
                <c:pt idx="111">
                  <c:v>HKT</c:v>
                </c:pt>
                <c:pt idx="112">
                  <c:v>RUH</c:v>
                </c:pt>
                <c:pt idx="113">
                  <c:v>JFK</c:v>
                </c:pt>
                <c:pt idx="114">
                  <c:v>HAN</c:v>
                </c:pt>
                <c:pt idx="115">
                  <c:v>SYD</c:v>
                </c:pt>
                <c:pt idx="116">
                  <c:v>TPE</c:v>
                </c:pt>
                <c:pt idx="117">
                  <c:v>SGN</c:v>
                </c:pt>
                <c:pt idx="118">
                  <c:v>DOH</c:v>
                </c:pt>
                <c:pt idx="119">
                  <c:v>CAN</c:v>
                </c:pt>
                <c:pt idx="120">
                  <c:v>PVG</c:v>
                </c:pt>
                <c:pt idx="121">
                  <c:v>CGK</c:v>
                </c:pt>
                <c:pt idx="122">
                  <c:v>ATL</c:v>
                </c:pt>
                <c:pt idx="123">
                  <c:v>KUL</c:v>
                </c:pt>
                <c:pt idx="124">
                  <c:v>KMG</c:v>
                </c:pt>
                <c:pt idx="125">
                  <c:v>JED</c:v>
                </c:pt>
                <c:pt idx="126">
                  <c:v>ICN</c:v>
                </c:pt>
                <c:pt idx="127">
                  <c:v>BKK</c:v>
                </c:pt>
                <c:pt idx="128">
                  <c:v>DXB</c:v>
                </c:pt>
                <c:pt idx="129">
                  <c:v>Filled:</c:v>
                </c:pt>
              </c:strCache>
            </c:strRef>
          </c:cat>
          <c:val>
            <c:numRef>
              <c:f>'Airport Parameters'!$P$2:$P$12</c:f>
              <c:numCache>
                <c:formatCode>_(* #,##0.00_);_(* \(#,##0.00\);_(* "-"??_);_(@_)</c:formatCode>
                <c:ptCount val="11"/>
                <c:pt idx="0">
                  <c:v>-1641285.3863013699</c:v>
                </c:pt>
                <c:pt idx="1">
                  <c:v>-1208643.6547945207</c:v>
                </c:pt>
                <c:pt idx="2">
                  <c:v>-1105917.8082191781</c:v>
                </c:pt>
                <c:pt idx="3">
                  <c:v>-986876.71232876717</c:v>
                </c:pt>
                <c:pt idx="4">
                  <c:v>-823290.45479452051</c:v>
                </c:pt>
                <c:pt idx="5">
                  <c:v>-787155.8</c:v>
                </c:pt>
                <c:pt idx="6">
                  <c:v>-742290.41095890407</c:v>
                </c:pt>
                <c:pt idx="7">
                  <c:v>-703616.43835616438</c:v>
                </c:pt>
                <c:pt idx="8">
                  <c:v>-648572.82465753425</c:v>
                </c:pt>
                <c:pt idx="9">
                  <c:v>-387014.44931506849</c:v>
                </c:pt>
                <c:pt idx="10">
                  <c:v>-328391.3479452054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0-474A-B2EB-3EA93118270D}"/>
            </c:ext>
          </c:extLst>
        </c:ser>
        <c:ser>
          <c:idx val="1"/>
          <c:order val="1"/>
          <c:tx>
            <c:v>Positive Divergence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'Airport Parameters'!$P$120:$P$130</c:f>
              <c:numCache>
                <c:formatCode>_(* #,##0.00_);_(* \(#,##0.00\);_(* "-"??_);_(@_)</c:formatCode>
                <c:ptCount val="11"/>
                <c:pt idx="0">
                  <c:v>529869.8630136986</c:v>
                </c:pt>
                <c:pt idx="1">
                  <c:v>530960.72328767134</c:v>
                </c:pt>
                <c:pt idx="2">
                  <c:v>544978.63013698626</c:v>
                </c:pt>
                <c:pt idx="3">
                  <c:v>562472.60273972596</c:v>
                </c:pt>
                <c:pt idx="4">
                  <c:v>563672.48219178081</c:v>
                </c:pt>
                <c:pt idx="5">
                  <c:v>706972.60273972596</c:v>
                </c:pt>
                <c:pt idx="6">
                  <c:v>735260.47945205483</c:v>
                </c:pt>
                <c:pt idx="7">
                  <c:v>770109.58904109593</c:v>
                </c:pt>
                <c:pt idx="8">
                  <c:v>783215.83561643842</c:v>
                </c:pt>
                <c:pt idx="9">
                  <c:v>898843.23561643832</c:v>
                </c:pt>
                <c:pt idx="10">
                  <c:v>1140753.4246575343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60-474A-B2EB-3EA93118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5778015"/>
        <c:axId val="790118895"/>
      </c:barChart>
      <c:catAx>
        <c:axId val="114577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18895"/>
        <c:crosses val="autoZero"/>
        <c:auto val="1"/>
        <c:lblAlgn val="ctr"/>
        <c:lblOffset val="100"/>
        <c:tickLblSkip val="1"/>
        <c:noMultiLvlLbl val="0"/>
      </c:catAx>
      <c:valAx>
        <c:axId val="79011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7801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'JMP Results'!$Y$1</c:f>
              <c:strCache>
                <c:ptCount val="1"/>
                <c:pt idx="0">
                  <c:v>Spearman_rho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Results'!$Y$2:$Y$9</c:f>
              <c:numCache>
                <c:formatCode>General</c:formatCode>
                <c:ptCount val="8"/>
                <c:pt idx="0">
                  <c:v>1</c:v>
                </c:pt>
                <c:pt idx="1">
                  <c:v>0.91249999999999998</c:v>
                </c:pt>
                <c:pt idx="2">
                  <c:v>0.69359999999999999</c:v>
                </c:pt>
                <c:pt idx="3">
                  <c:v>0.45350000000000001</c:v>
                </c:pt>
                <c:pt idx="4">
                  <c:v>0.1857</c:v>
                </c:pt>
                <c:pt idx="5">
                  <c:v>-4.19E-2</c:v>
                </c:pt>
                <c:pt idx="6">
                  <c:v>-0.182</c:v>
                </c:pt>
                <c:pt idx="7">
                  <c:v>-0.26889999999999997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9-D147-BEDD-C412EE53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334879"/>
        <c:axId val="1203609471"/>
      </c:scatterChart>
      <c:scatterChart>
        <c:scatterStyle val="lineMarker"/>
        <c:varyColors val="0"/>
        <c:ser>
          <c:idx val="2"/>
          <c:order val="1"/>
          <c:tx>
            <c:strRef>
              <c:f>'JMP Results'!$Z$1</c:f>
              <c:strCache>
                <c:ptCount val="1"/>
                <c:pt idx="0">
                  <c:v>KTM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2820996330044515E-2"/>
                  <c:y val="-9.190999092961769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KTM </a:t>
                    </a:r>
                    <a:fld id="{1DF13B71-EEC6-1945-9E75-1C401FC6AAF4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5C19-D147-BEDD-C412EE53B8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KTM </a:t>
                    </a:r>
                    <a:fld id="{DB3523F2-29BF-A94E-815A-96EDBAADC9C2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Results'!$Z$2:$Z$9</c:f>
              <c:numCache>
                <c:formatCode>General</c:formatCode>
                <c:ptCount val="8"/>
                <c:pt idx="0">
                  <c:v>35</c:v>
                </c:pt>
                <c:pt idx="1">
                  <c:v>14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11</c:v>
                </c:pt>
                <c:pt idx="7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19-D147-BEDD-C412EE53B81E}"/>
            </c:ext>
          </c:extLst>
        </c:ser>
        <c:ser>
          <c:idx val="3"/>
          <c:order val="2"/>
          <c:tx>
            <c:strRef>
              <c:f>'JMP Results'!$AA$1</c:f>
              <c:strCache>
                <c:ptCount val="1"/>
                <c:pt idx="0">
                  <c:v>GAU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2505228510796631E-2"/>
                  <c:y val="-9.573957388501835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GAU </a:t>
                    </a:r>
                    <a:fld id="{5B25A0E8-91D7-334A-B34B-42C43633168D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5C19-D147-BEDD-C412EE53B8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GAU </a:t>
                    </a:r>
                    <a:fld id="{A936A801-133B-354D-BE12-D0BA694236C2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Results'!$AA$2:$AA$9</c:f>
              <c:numCache>
                <c:formatCode>General</c:formatCode>
                <c:ptCount val="8"/>
                <c:pt idx="0">
                  <c:v>53</c:v>
                </c:pt>
                <c:pt idx="1">
                  <c:v>21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19-D147-BEDD-C412EE53B81E}"/>
            </c:ext>
          </c:extLst>
        </c:ser>
        <c:ser>
          <c:idx val="4"/>
          <c:order val="3"/>
          <c:tx>
            <c:strRef>
              <c:f>'JMP Results'!$AB$1</c:f>
              <c:strCache>
                <c:ptCount val="1"/>
                <c:pt idx="0">
                  <c:v>CCU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CCU </a:t>
                    </a:r>
                    <a:fld id="{05FDE7EC-7DB3-2E4D-A1F8-6AF146AC2DDD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5C19-D147-BEDD-C412EE53B8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CCU </a:t>
                    </a:r>
                    <a:fld id="{4D19B25D-517D-1041-8E4A-330D36ED11F7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Results'!$AB$2:$AB$9</c:f>
              <c:numCache>
                <c:formatCode>General</c:formatCode>
                <c:ptCount val="8"/>
                <c:pt idx="0">
                  <c:v>15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19-D147-BEDD-C412EE53B81E}"/>
            </c:ext>
          </c:extLst>
        </c:ser>
        <c:ser>
          <c:idx val="5"/>
          <c:order val="4"/>
          <c:tx>
            <c:strRef>
              <c:f>'JMP Results'!$AC$1</c:f>
              <c:strCache>
                <c:ptCount val="1"/>
                <c:pt idx="0">
                  <c:v>DEL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DEL </a:t>
                    </a:r>
                    <a:fld id="{2000CEC7-FA11-D74A-92C9-5E7C26305ABF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5C19-D147-BEDD-C412EE53B8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DEL </a:t>
                    </a:r>
                    <a:fld id="{CCF5C1D1-881F-DD43-A017-2FE816A96B4D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Results'!$AC$2:$AC$9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17</c:v>
                </c:pt>
                <c:pt idx="7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19-D147-BEDD-C412EE53B81E}"/>
            </c:ext>
          </c:extLst>
        </c:ser>
        <c:ser>
          <c:idx val="6"/>
          <c:order val="5"/>
          <c:tx>
            <c:strRef>
              <c:f>'JMP Results'!$AD$1</c:f>
              <c:strCache>
                <c:ptCount val="1"/>
                <c:pt idx="0">
                  <c:v>LXA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LXA </a:t>
                    </a:r>
                    <a:fld id="{92C14E16-5345-5742-ACF6-271542832C2E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5C19-D147-BEDD-C412EE53B8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LXA </a:t>
                    </a:r>
                    <a:fld id="{E97A34F9-2FD9-F148-AE0C-12C9CB6833A1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Results'!$AD$2:$AD$9</c:f>
              <c:numCache>
                <c:formatCode>General</c:formatCode>
                <c:ptCount val="8"/>
                <c:pt idx="0">
                  <c:v>58</c:v>
                </c:pt>
                <c:pt idx="1">
                  <c:v>29</c:v>
                </c:pt>
                <c:pt idx="2">
                  <c:v>14</c:v>
                </c:pt>
                <c:pt idx="3">
                  <c:v>10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19-D147-BEDD-C412EE53B81E}"/>
            </c:ext>
          </c:extLst>
        </c:ser>
        <c:ser>
          <c:idx val="7"/>
          <c:order val="6"/>
          <c:tx>
            <c:strRef>
              <c:f>'JMP Results'!$AE$1</c:f>
              <c:strCache>
                <c:ptCount val="1"/>
                <c:pt idx="0">
                  <c:v>DAC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8599958856570978E-2"/>
                  <c:y val="-7.65916591080147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DAC </a:t>
                    </a:r>
                    <a:fld id="{41E24953-A44F-3F4A-BDA7-FCD7C22C0075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5C19-D147-BEDD-C412EE53B81E}"/>
                </c:ext>
              </c:extLst>
            </c:dLbl>
            <c:dLbl>
              <c:idx val="7"/>
              <c:layout>
                <c:manualLayout>
                  <c:x val="2.0272957008718919E-3"/>
                  <c:y val="1.52616669886237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DAC</a:t>
                    </a:r>
                    <a:r>
                      <a:rPr lang="en-US" baseline="0"/>
                      <a:t> </a:t>
                    </a:r>
                    <a:fld id="{CC3EDB87-E129-D845-8910-954AF5DD86B9}" type="YVALUE">
                      <a:rPr lang="en-US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5C19-D147-BEDD-C412EE53B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'JMP Results'!$X$2:$X$9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</c:numCache>
            </c:numRef>
          </c:xVal>
          <c:yVal>
            <c:numRef>
              <c:f>'JMP Results'!$AE$2:$AE$9</c:f>
              <c:numCache>
                <c:formatCode>General</c:formatCode>
                <c:ptCount val="8"/>
                <c:pt idx="0">
                  <c:v>47</c:v>
                </c:pt>
                <c:pt idx="1">
                  <c:v>17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19-D147-BEDD-C412EE53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844143"/>
        <c:axId val="645865359"/>
      </c:scatterChart>
      <c:valAx>
        <c:axId val="59233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r>
                  <a:rPr lang="en-GB"/>
                  <a:t>Distance Decay Parameter, </a:t>
                </a:r>
                <a:r>
                  <a:rPr lang="en-GB" i="1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Himalaya" pitchFamily="2" charset="0"/>
                  <a:ea typeface="Microsoft Himalaya" pitchFamily="2" charset="0"/>
                  <a:cs typeface="Microsoft Himalaya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Himalaya" pitchFamily="2" charset="0"/>
                <a:ea typeface="Microsoft Himalaya" pitchFamily="2" charset="0"/>
                <a:cs typeface="Microsoft Himalaya" pitchFamily="2" charset="0"/>
              </a:defRPr>
            </a:pPr>
            <a:endParaRPr lang="en-US"/>
          </a:p>
        </c:txPr>
        <c:crossAx val="1203609471"/>
        <c:crosses val="autoZero"/>
        <c:crossBetween val="midCat"/>
      </c:valAx>
      <c:valAx>
        <c:axId val="1203609471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r>
                  <a:rPr lang="en-GB"/>
                  <a:t>Spearman's </a:t>
                </a:r>
                <a:r>
                  <a:rPr lang="el-GR"/>
                  <a:t>ρ</a:t>
                </a:r>
                <a:r>
                  <a:rPr lang="az-Latn-AZ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Himalaya" pitchFamily="2" charset="0"/>
                  <a:ea typeface="Microsoft Himalaya" pitchFamily="2" charset="0"/>
                  <a:cs typeface="Microsoft Himalaya" pitchFamily="2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Himalaya" pitchFamily="2" charset="0"/>
                <a:ea typeface="Microsoft Himalaya" pitchFamily="2" charset="0"/>
                <a:cs typeface="Microsoft Himalaya" pitchFamily="2" charset="0"/>
              </a:defRPr>
            </a:pPr>
            <a:endParaRPr lang="en-US"/>
          </a:p>
        </c:txPr>
        <c:crossAx val="592334879"/>
        <c:crosses val="autoZero"/>
        <c:crossBetween val="midCat"/>
      </c:valAx>
      <c:valAx>
        <c:axId val="645865359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Himalaya" pitchFamily="2" charset="0"/>
                    <a:ea typeface="Microsoft Himalaya" pitchFamily="2" charset="0"/>
                    <a:cs typeface="Microsoft Himalaya" pitchFamily="2" charset="0"/>
                  </a:defRPr>
                </a:pPr>
                <a:r>
                  <a:rPr lang="en-GB"/>
                  <a:t>Centrality Rank out of 129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Himalaya" pitchFamily="2" charset="0"/>
                  <a:ea typeface="Microsoft Himalaya" pitchFamily="2" charset="0"/>
                  <a:cs typeface="Microsoft Himalaya" pitchFamily="2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Himalaya" pitchFamily="2" charset="0"/>
                <a:ea typeface="Microsoft Himalaya" pitchFamily="2" charset="0"/>
                <a:cs typeface="Microsoft Himalaya" pitchFamily="2" charset="0"/>
              </a:defRPr>
            </a:pPr>
            <a:endParaRPr lang="en-US"/>
          </a:p>
        </c:txPr>
        <c:crossAx val="645844143"/>
        <c:crosses val="max"/>
        <c:crossBetween val="midCat"/>
      </c:valAx>
      <c:valAx>
        <c:axId val="64584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5865359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Himalaya" pitchFamily="2" charset="0"/>
              <a:ea typeface="Microsoft Himalaya" pitchFamily="2" charset="0"/>
              <a:cs typeface="Microsoft Himalaya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Microsoft Himalaya" pitchFamily="2" charset="0"/>
          <a:ea typeface="Microsoft Himalaya" pitchFamily="2" charset="0"/>
          <a:cs typeface="Microsoft Himalaya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2.xml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253999</xdr:colOff>
      <xdr:row>3</xdr:row>
      <xdr:rowOff>115324</xdr:rowOff>
    </xdr:from>
    <xdr:to>
      <xdr:col>28</xdr:col>
      <xdr:colOff>292100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50E74-CF39-8E5B-E227-B9A7FB4D7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16</xdr:col>
      <xdr:colOff>38100</xdr:colOff>
      <xdr:row>11</xdr:row>
      <xdr:rowOff>241300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38F53-CE85-1653-A63A-ED2F47B5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8100" y="368300"/>
          <a:ext cx="4165600" cy="33528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16</xdr:col>
      <xdr:colOff>38100</xdr:colOff>
      <xdr:row>24</xdr:row>
      <xdr:rowOff>241300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1EC01-37DD-AD96-FFAB-0EFD17269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8100" y="4457700"/>
          <a:ext cx="4165600" cy="33528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21</xdr:col>
      <xdr:colOff>457200</xdr:colOff>
      <xdr:row>26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20040F-8585-2B17-B5EB-6C7F21285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76600" y="4457700"/>
          <a:ext cx="2933700" cy="374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15</xdr:col>
      <xdr:colOff>752929</xdr:colOff>
      <xdr:row>46</xdr:row>
      <xdr:rowOff>75746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FAD368-39AD-3CFB-B375-D4EC79BD5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8036" y="9105446"/>
          <a:ext cx="4064000" cy="3352800"/>
        </a:xfrm>
        <a:prstGeom prst="rect">
          <a:avLst/>
        </a:prstGeom>
      </xdr:spPr>
    </xdr:pic>
    <xdr:clientData/>
  </xdr:twoCellAnchor>
  <xdr:twoCellAnchor>
    <xdr:from>
      <xdr:col>23</xdr:col>
      <xdr:colOff>157615</xdr:colOff>
      <xdr:row>10</xdr:row>
      <xdr:rowOff>85498</xdr:rowOff>
    </xdr:from>
    <xdr:to>
      <xdr:col>30</xdr:col>
      <xdr:colOff>634999</xdr:colOff>
      <xdr:row>20</xdr:row>
      <xdr:rowOff>226786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07B7A1-CD4F-CCB4-1D9F-15E60DA45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zoomScaleNormal="100" workbookViewId="0">
      <selection activeCell="A5" sqref="A5"/>
    </sheetView>
  </sheetViews>
  <sheetFormatPr baseColWidth="10" defaultColWidth="8.6640625" defaultRowHeight="15" x14ac:dyDescent="0.2"/>
  <cols>
    <col min="1" max="1" width="10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 t="s">
        <v>8</v>
      </c>
    </row>
    <row r="11" spans="1:1" x14ac:dyDescent="0.2">
      <c r="A11" s="2"/>
    </row>
    <row r="12" spans="1:1" ht="16" x14ac:dyDescent="0.2">
      <c r="A12" s="3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 t="s">
        <v>12</v>
      </c>
    </row>
    <row r="16" spans="1:1" x14ac:dyDescent="0.2">
      <c r="A16" s="2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tabSelected="1"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AD18" sqref="AD18"/>
    </sheetView>
  </sheetViews>
  <sheetFormatPr baseColWidth="10" defaultColWidth="8.6640625" defaultRowHeight="24" x14ac:dyDescent="0.4"/>
  <cols>
    <col min="1" max="1" width="10" style="4" customWidth="1"/>
    <col min="2" max="2" width="30" style="4" customWidth="1"/>
    <col min="3" max="3" width="10" style="4" customWidth="1"/>
    <col min="4" max="4" width="7.83203125" style="4" bestFit="1" customWidth="1"/>
    <col min="5" max="5" width="15" style="4" bestFit="1" customWidth="1"/>
    <col min="6" max="6" width="18.33203125" style="4" bestFit="1" customWidth="1"/>
    <col min="7" max="7" width="28.33203125" style="4" bestFit="1" customWidth="1"/>
    <col min="8" max="8" width="12.33203125" style="4" bestFit="1" customWidth="1"/>
    <col min="9" max="9" width="14.6640625" style="4" bestFit="1" customWidth="1"/>
    <col min="10" max="10" width="36" style="22" bestFit="1" customWidth="1"/>
    <col min="11" max="11" width="14.6640625" style="4" customWidth="1"/>
    <col min="12" max="12" width="20.5" style="4" bestFit="1" customWidth="1"/>
    <col min="13" max="13" width="20.6640625" style="4" bestFit="1" customWidth="1"/>
    <col min="14" max="14" width="14.33203125" style="4" bestFit="1" customWidth="1"/>
    <col min="15" max="15" width="29.6640625" style="4" customWidth="1"/>
    <col min="16" max="16" width="16.6640625" style="4" bestFit="1" customWidth="1"/>
    <col min="17" max="16384" width="8.6640625" style="4"/>
  </cols>
  <sheetData>
    <row r="1" spans="1:16" s="8" customFormat="1" ht="30" customHeight="1" x14ac:dyDescent="0.4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19" t="s">
        <v>299</v>
      </c>
      <c r="K1" s="7" t="s">
        <v>298</v>
      </c>
      <c r="L1" s="7" t="s">
        <v>297</v>
      </c>
      <c r="M1" s="7" t="s">
        <v>300</v>
      </c>
      <c r="N1" s="7" t="s">
        <v>23</v>
      </c>
      <c r="O1" s="7" t="s">
        <v>24</v>
      </c>
      <c r="P1" s="7" t="s">
        <v>328</v>
      </c>
    </row>
    <row r="2" spans="1:16" x14ac:dyDescent="0.4">
      <c r="A2" s="5" t="s">
        <v>200</v>
      </c>
      <c r="B2" s="5" t="s">
        <v>201</v>
      </c>
      <c r="C2" s="5">
        <v>12.99</v>
      </c>
      <c r="D2" s="5">
        <v>80.169300000000007</v>
      </c>
      <c r="E2" s="5">
        <v>2048</v>
      </c>
      <c r="F2" s="5">
        <v>0.1</v>
      </c>
      <c r="G2" s="10">
        <f>ROUND(IF(F2=0,"",IF(F2="","",E2/(F2/100))),0)</f>
        <v>2048000</v>
      </c>
      <c r="H2" s="5">
        <v>131</v>
      </c>
      <c r="I2" s="5">
        <v>97.08</v>
      </c>
      <c r="J2" s="20">
        <v>21207262</v>
      </c>
      <c r="K2" s="5">
        <f>LOG(H2)</f>
        <v>2.1172712956557644</v>
      </c>
      <c r="L2" s="5">
        <f>LOG(G2)</f>
        <v>6.3113299523037929</v>
      </c>
      <c r="M2" s="5">
        <f>LOG(J2)</f>
        <v>7.3264846018004643</v>
      </c>
      <c r="N2" s="5"/>
      <c r="O2" s="5"/>
      <c r="P2" s="18">
        <f>J2*7/365 - G2</f>
        <v>-1641285.3863013699</v>
      </c>
    </row>
    <row r="3" spans="1:16" x14ac:dyDescent="0.4">
      <c r="A3" s="5" t="s">
        <v>132</v>
      </c>
      <c r="B3" s="5" t="s">
        <v>133</v>
      </c>
      <c r="C3" s="5">
        <v>17.231300000000001</v>
      </c>
      <c r="D3" s="5">
        <v>78.429900000000004</v>
      </c>
      <c r="E3" s="5">
        <v>1768</v>
      </c>
      <c r="F3" s="5">
        <v>0.1</v>
      </c>
      <c r="G3" s="10">
        <f>ROUND(IF(F3=0,"",IF(F3="","",E3/(F3/100))),0)</f>
        <v>1768000</v>
      </c>
      <c r="H3" s="5">
        <v>91</v>
      </c>
      <c r="I3" s="5">
        <v>97.97</v>
      </c>
      <c r="J3" s="20">
        <v>29166438</v>
      </c>
      <c r="K3" s="5">
        <f>LOG(H3)</f>
        <v>1.9590413923210936</v>
      </c>
      <c r="L3" s="5">
        <f>LOG(G3)</f>
        <v>6.2474822606770539</v>
      </c>
      <c r="M3" s="5">
        <f>LOG(J3)</f>
        <v>7.4648833934205658</v>
      </c>
      <c r="N3" s="5"/>
      <c r="O3" s="5"/>
      <c r="P3" s="18">
        <f>J3*7/365 - G3</f>
        <v>-1208643.6547945207</v>
      </c>
    </row>
    <row r="4" spans="1:16" x14ac:dyDescent="0.4">
      <c r="A4" s="5" t="s">
        <v>252</v>
      </c>
      <c r="B4" s="5" t="s">
        <v>253</v>
      </c>
      <c r="C4" s="5">
        <v>1.3502000000000001</v>
      </c>
      <c r="D4" s="5">
        <v>103.994</v>
      </c>
      <c r="E4" s="5">
        <v>2448</v>
      </c>
      <c r="F4" s="5">
        <v>0.1</v>
      </c>
      <c r="G4" s="10">
        <f>ROUND(IF(F4=0,"",IF(F4="","",E4/(F4/100))),0)</f>
        <v>2448000</v>
      </c>
      <c r="H4" s="5">
        <v>16</v>
      </c>
      <c r="I4" s="5">
        <v>99.64</v>
      </c>
      <c r="J4" s="20">
        <v>69980000</v>
      </c>
      <c r="K4" s="5">
        <f>LOG(H4)</f>
        <v>1.2041199826559248</v>
      </c>
      <c r="L4" s="5">
        <f>LOG(G4)</f>
        <v>6.3888114134735234</v>
      </c>
      <c r="M4" s="5">
        <f>LOG(J4)</f>
        <v>7.8449739381468877</v>
      </c>
      <c r="N4" s="5"/>
      <c r="O4" s="5"/>
      <c r="P4" s="18">
        <f>J4*7/365 - G4</f>
        <v>-1105917.8082191781</v>
      </c>
    </row>
    <row r="5" spans="1:16" x14ac:dyDescent="0.4">
      <c r="A5" s="5" t="s">
        <v>49</v>
      </c>
      <c r="B5" s="5" t="s">
        <v>50</v>
      </c>
      <c r="C5" s="5">
        <v>13.197900000000001</v>
      </c>
      <c r="D5" s="5">
        <v>77.706299999999999</v>
      </c>
      <c r="E5" s="5">
        <v>1768</v>
      </c>
      <c r="F5" s="5">
        <v>0.1</v>
      </c>
      <c r="G5" s="10">
        <f>ROUND(IF(F5=0,"",IF(F5="","",E5/(F5/100))),0)</f>
        <v>1768000</v>
      </c>
      <c r="H5" s="5">
        <v>58</v>
      </c>
      <c r="I5" s="5">
        <v>98.71</v>
      </c>
      <c r="J5" s="20">
        <v>40730000</v>
      </c>
      <c r="K5" s="5">
        <f>LOG(H5)</f>
        <v>1.7634279935629373</v>
      </c>
      <c r="L5" s="5">
        <f>LOG(G5)</f>
        <v>6.2474822606770539</v>
      </c>
      <c r="M5" s="5">
        <f>LOG(J5)</f>
        <v>7.6099144100859979</v>
      </c>
      <c r="N5" s="5"/>
      <c r="O5" s="5"/>
      <c r="P5" s="18">
        <f>J5*7/365 - G5</f>
        <v>-986876.71232876717</v>
      </c>
    </row>
    <row r="6" spans="1:16" x14ac:dyDescent="0.4">
      <c r="A6" s="5" t="s">
        <v>228</v>
      </c>
      <c r="B6" s="5" t="s">
        <v>229</v>
      </c>
      <c r="C6" s="5">
        <v>40.080100000000002</v>
      </c>
      <c r="D6" s="5">
        <v>116.58499999999999</v>
      </c>
      <c r="E6" s="5">
        <v>2180</v>
      </c>
      <c r="F6" s="5">
        <v>0.1</v>
      </c>
      <c r="G6" s="10">
        <f>ROUND(IF(F6=0,"",IF(F6="","",E6/(F6/100))),0)</f>
        <v>2180000</v>
      </c>
      <c r="H6" s="5">
        <v>15</v>
      </c>
      <c r="I6" s="5">
        <v>99.67</v>
      </c>
      <c r="J6" s="20">
        <v>70742712</v>
      </c>
      <c r="K6" s="5">
        <f>LOG(H6)</f>
        <v>1.1760912590556813</v>
      </c>
      <c r="L6" s="5">
        <f>LOG(G6)</f>
        <v>6.3384564936046051</v>
      </c>
      <c r="M6" s="5">
        <f>LOG(J6)</f>
        <v>7.8496817049565157</v>
      </c>
      <c r="N6" s="5"/>
      <c r="O6" s="5"/>
      <c r="P6" s="18">
        <f>J6*7/365 - G6</f>
        <v>-823290.45479452051</v>
      </c>
    </row>
    <row r="7" spans="1:16" x14ac:dyDescent="0.4">
      <c r="A7" s="5" t="s">
        <v>71</v>
      </c>
      <c r="B7" s="5" t="s">
        <v>72</v>
      </c>
      <c r="C7" s="5">
        <v>7.1807999999999996</v>
      </c>
      <c r="D7" s="5">
        <v>79.884100000000004</v>
      </c>
      <c r="E7" s="5">
        <v>1912</v>
      </c>
      <c r="F7" s="5">
        <v>0.2</v>
      </c>
      <c r="G7" s="10">
        <f>ROUND(IF(F7=0,"",IF(F7="","",E7/(F7/100))),0)</f>
        <v>956000</v>
      </c>
      <c r="H7" s="5">
        <v>257</v>
      </c>
      <c r="I7" s="5">
        <v>94.27</v>
      </c>
      <c r="J7" s="20">
        <v>8804019</v>
      </c>
      <c r="K7" s="5">
        <f>LOG(H7)</f>
        <v>2.4099331233312946</v>
      </c>
      <c r="L7" s="5">
        <f>LOG(G7)</f>
        <v>5.9804578922761005</v>
      </c>
      <c r="M7" s="5">
        <f>LOG(J7)</f>
        <v>6.9446809711355417</v>
      </c>
      <c r="N7" s="5"/>
      <c r="O7" s="5"/>
      <c r="P7" s="18">
        <f>J7*7/365 - G7</f>
        <v>-787155.8</v>
      </c>
    </row>
    <row r="8" spans="1:16" x14ac:dyDescent="0.4">
      <c r="A8" s="5" t="s">
        <v>124</v>
      </c>
      <c r="B8" s="5" t="s">
        <v>125</v>
      </c>
      <c r="C8" s="5">
        <v>22.308900000000001</v>
      </c>
      <c r="D8" s="5">
        <v>113.91500000000001</v>
      </c>
      <c r="E8" s="5">
        <v>1912</v>
      </c>
      <c r="F8" s="5">
        <v>0.1</v>
      </c>
      <c r="G8" s="10">
        <f>ROUND(IF(F8=0,"",IF(F8="","",E8/(F8/100))),0)</f>
        <v>1912000</v>
      </c>
      <c r="H8" s="5">
        <v>24</v>
      </c>
      <c r="I8" s="5">
        <v>99.47</v>
      </c>
      <c r="J8" s="20">
        <v>60992000</v>
      </c>
      <c r="K8" s="5">
        <f>LOG(H8)</f>
        <v>1.3802112417116059</v>
      </c>
      <c r="L8" s="5">
        <f>LOG(G8)</f>
        <v>6.2814878879400808</v>
      </c>
      <c r="M8" s="5">
        <f>LOG(J8)</f>
        <v>7.7852728746222137</v>
      </c>
      <c r="N8" s="5"/>
      <c r="O8" s="5"/>
      <c r="P8" s="18">
        <f>J8*7/365 - G8</f>
        <v>-742290.41095890407</v>
      </c>
    </row>
    <row r="9" spans="1:16" x14ac:dyDescent="0.4">
      <c r="A9" s="5" t="s">
        <v>51</v>
      </c>
      <c r="B9" s="5" t="s">
        <v>52</v>
      </c>
      <c r="C9" s="5">
        <v>19.088699999999999</v>
      </c>
      <c r="D9" s="5">
        <v>72.867900000000006</v>
      </c>
      <c r="E9" s="5">
        <v>1768</v>
      </c>
      <c r="F9" s="5">
        <v>0.1</v>
      </c>
      <c r="G9" s="10">
        <f>ROUND(IF(F9=0,"",IF(F9="","",E9/(F9/100))),0)</f>
        <v>1768000</v>
      </c>
      <c r="H9" s="5">
        <v>29</v>
      </c>
      <c r="I9" s="5">
        <v>99.35</v>
      </c>
      <c r="J9" s="20">
        <v>55500000</v>
      </c>
      <c r="K9" s="5">
        <f>LOG(H9)</f>
        <v>1.4623979978989561</v>
      </c>
      <c r="L9" s="5">
        <f>LOG(G9)</f>
        <v>6.2474822606770539</v>
      </c>
      <c r="M9" s="5">
        <f>LOG(J9)</f>
        <v>7.7442929831226763</v>
      </c>
      <c r="N9" s="5"/>
      <c r="O9" s="5"/>
      <c r="P9" s="18">
        <f>J9*7/365 - G9</f>
        <v>-703616.43835616438</v>
      </c>
    </row>
    <row r="10" spans="1:16" x14ac:dyDescent="0.4">
      <c r="A10" s="5" t="s">
        <v>61</v>
      </c>
      <c r="B10" s="5" t="s">
        <v>62</v>
      </c>
      <c r="C10" s="5">
        <v>22.654699999999998</v>
      </c>
      <c r="D10" s="5">
        <v>88.446700000000007</v>
      </c>
      <c r="E10" s="5">
        <v>2056</v>
      </c>
      <c r="F10" s="5">
        <v>0.2</v>
      </c>
      <c r="G10" s="10">
        <f>ROUND(IF(F10=0,"",IF(F10="","",E10/(F10/100))),0)</f>
        <v>1028000</v>
      </c>
      <c r="H10" s="5">
        <v>136</v>
      </c>
      <c r="I10" s="5">
        <v>96.97</v>
      </c>
      <c r="J10" s="20">
        <v>19784417</v>
      </c>
      <c r="K10" s="5">
        <f>LOG(H10)</f>
        <v>2.1335389083702174</v>
      </c>
      <c r="L10" s="5">
        <f>LOG(G10)</f>
        <v>6.0119931146592567</v>
      </c>
      <c r="M10" s="5">
        <f>LOG(J10)</f>
        <v>7.2963232571588614</v>
      </c>
      <c r="N10" s="5"/>
      <c r="O10" s="5"/>
      <c r="P10" s="18">
        <f>J10*7/365 - G10</f>
        <v>-648572.82465753425</v>
      </c>
    </row>
    <row r="11" spans="1:16" x14ac:dyDescent="0.4">
      <c r="A11" s="5" t="s">
        <v>270</v>
      </c>
      <c r="B11" s="5" t="s">
        <v>271</v>
      </c>
      <c r="C11" s="5">
        <v>8.4821000000000009</v>
      </c>
      <c r="D11" s="5">
        <v>76.920100000000005</v>
      </c>
      <c r="E11" s="5">
        <v>943</v>
      </c>
      <c r="F11" s="5">
        <v>0.2</v>
      </c>
      <c r="G11" s="10">
        <f>ROUND(IF(F11=0,"",IF(F11="","",E11/(F11/100))),0)</f>
        <v>471500</v>
      </c>
      <c r="H11" s="5">
        <v>388</v>
      </c>
      <c r="I11" s="5">
        <v>91.35</v>
      </c>
      <c r="J11" s="20">
        <v>4405318</v>
      </c>
      <c r="K11" s="5">
        <f>LOG(H11)</f>
        <v>2.5888317255942073</v>
      </c>
      <c r="L11" s="5">
        <f>LOG(G11)</f>
        <v>5.6734816970733473</v>
      </c>
      <c r="M11" s="5">
        <f>LOG(J11)</f>
        <v>6.6439772636358114</v>
      </c>
      <c r="N11" s="5"/>
      <c r="O11" s="5"/>
      <c r="P11" s="18">
        <f>J11*7/365 - G11</f>
        <v>-387014.44931506849</v>
      </c>
    </row>
    <row r="12" spans="1:16" x14ac:dyDescent="0.4">
      <c r="A12" s="5" t="s">
        <v>186</v>
      </c>
      <c r="B12" s="5" t="s">
        <v>187</v>
      </c>
      <c r="C12" s="5">
        <v>33.942500000000003</v>
      </c>
      <c r="D12" s="5">
        <v>-118.408</v>
      </c>
      <c r="E12" s="5">
        <v>1742</v>
      </c>
      <c r="F12" s="5">
        <v>0.1</v>
      </c>
      <c r="G12" s="10">
        <f>ROUND(IF(F12=0,"",IF(F12="","",E12/(F12/100))),0)</f>
        <v>1742000</v>
      </c>
      <c r="H12" s="5">
        <v>13</v>
      </c>
      <c r="I12" s="5">
        <v>99.71</v>
      </c>
      <c r="J12" s="20">
        <v>73709594</v>
      </c>
      <c r="K12" s="5">
        <f>LOG(H12)</f>
        <v>1.1139433523068367</v>
      </c>
      <c r="L12" s="5">
        <f>LOG(G12)</f>
        <v>6.2410481506716442</v>
      </c>
      <c r="M12" s="5">
        <f>LOG(J12)</f>
        <v>7.8675240190678037</v>
      </c>
      <c r="N12" s="5"/>
      <c r="O12" s="5"/>
      <c r="P12" s="18">
        <f>J12*7/365 - G12</f>
        <v>-328391.3479452054</v>
      </c>
    </row>
    <row r="13" spans="1:16" x14ac:dyDescent="0.4">
      <c r="A13" s="5" t="s">
        <v>148</v>
      </c>
      <c r="B13" s="5" t="s">
        <v>149</v>
      </c>
      <c r="C13" s="5">
        <v>41.275300000000001</v>
      </c>
      <c r="D13" s="5">
        <v>28.751899999999999</v>
      </c>
      <c r="E13" s="5">
        <v>1912</v>
      </c>
      <c r="F13" s="5">
        <v>0.1</v>
      </c>
      <c r="G13" s="10">
        <f>ROUND(IF(F13=0,"",IF(F13="","",E13/(F13/100))),0)</f>
        <v>1912000</v>
      </c>
      <c r="H13" s="5">
        <v>8</v>
      </c>
      <c r="I13" s="5">
        <v>99.82</v>
      </c>
      <c r="J13" s="20">
        <v>84457421</v>
      </c>
      <c r="K13" s="5">
        <f>LOG(H13)</f>
        <v>0.90308998699194354</v>
      </c>
      <c r="L13" s="5">
        <f>LOG(G13)</f>
        <v>6.2814878879400808</v>
      </c>
      <c r="M13" s="5">
        <f>LOG(J13)</f>
        <v>7.9266378156329385</v>
      </c>
      <c r="N13" s="5"/>
      <c r="O13" s="5"/>
      <c r="P13" s="18">
        <f>J13*7/365 - G13</f>
        <v>-292268.63835616433</v>
      </c>
    </row>
    <row r="14" spans="1:16" x14ac:dyDescent="0.4">
      <c r="A14" s="5" t="s">
        <v>87</v>
      </c>
      <c r="B14" s="5" t="s">
        <v>88</v>
      </c>
      <c r="C14" s="5">
        <v>28.566500000000001</v>
      </c>
      <c r="D14" s="5">
        <v>77.103099999999998</v>
      </c>
      <c r="E14" s="5">
        <v>3574</v>
      </c>
      <c r="F14" s="5">
        <v>0.2</v>
      </c>
      <c r="G14" s="10">
        <f>ROUND(IF(F14=0,"",IF(F14="","",E14/(F14/100))),0)</f>
        <v>1787000</v>
      </c>
      <c r="H14" s="5">
        <v>11</v>
      </c>
      <c r="I14" s="5">
        <v>99.75</v>
      </c>
      <c r="J14" s="20">
        <v>79259890</v>
      </c>
      <c r="K14" s="5">
        <f>LOG(H14)</f>
        <v>1.0413926851582251</v>
      </c>
      <c r="L14" s="5">
        <f>LOG(G14)</f>
        <v>6.2521245525056441</v>
      </c>
      <c r="M14" s="5">
        <f>LOG(J14)</f>
        <v>7.8990534652675857</v>
      </c>
      <c r="N14" s="5"/>
      <c r="O14" s="5"/>
      <c r="P14" s="18">
        <f>J14*7/365 - G14</f>
        <v>-266947.31506849313</v>
      </c>
    </row>
    <row r="15" spans="1:16" x14ac:dyDescent="0.4">
      <c r="A15" s="5" t="s">
        <v>206</v>
      </c>
      <c r="B15" s="5" t="s">
        <v>207</v>
      </c>
      <c r="C15" s="5">
        <v>4.1917999999999997</v>
      </c>
      <c r="D15" s="5">
        <v>73.5291</v>
      </c>
      <c r="E15" s="5">
        <v>2198</v>
      </c>
      <c r="F15" s="5">
        <v>0.7</v>
      </c>
      <c r="G15" s="10">
        <f>ROUND(IF(F15=0,"",IF(F15="","",E15/(F15/100))),0)</f>
        <v>314000</v>
      </c>
      <c r="H15" s="5">
        <v>375</v>
      </c>
      <c r="I15" s="5">
        <v>91.64</v>
      </c>
      <c r="J15" s="20">
        <v>4829331</v>
      </c>
      <c r="K15" s="5">
        <f>LOG(H15)</f>
        <v>2.5740312677277188</v>
      </c>
      <c r="L15" s="5">
        <f>LOG(G15)</f>
        <v>5.4969296480732153</v>
      </c>
      <c r="M15" s="5">
        <f>LOG(J15)</f>
        <v>6.6838869727532293</v>
      </c>
      <c r="N15" s="5"/>
      <c r="O15" s="5"/>
      <c r="P15" s="18">
        <f>J15*7/365 - G15</f>
        <v>-221382.69315068494</v>
      </c>
    </row>
    <row r="16" spans="1:16" x14ac:dyDescent="0.4">
      <c r="A16" s="5" t="s">
        <v>260</v>
      </c>
      <c r="B16" s="5" t="s">
        <v>261</v>
      </c>
      <c r="C16" s="5">
        <v>41.257899999999999</v>
      </c>
      <c r="D16" s="5">
        <v>69.281199999999998</v>
      </c>
      <c r="E16" s="5">
        <v>1912</v>
      </c>
      <c r="F16" s="5">
        <v>0.5</v>
      </c>
      <c r="G16" s="10">
        <f>ROUND(IF(F16=0,"",IF(F16="","",E16/(F16/100))),0)</f>
        <v>382400</v>
      </c>
      <c r="H16" s="5">
        <v>258</v>
      </c>
      <c r="I16" s="5">
        <v>94.25</v>
      </c>
      <c r="J16" s="20">
        <v>8716526</v>
      </c>
      <c r="K16" s="5">
        <f>LOG(H16)</f>
        <v>2.4116197059632301</v>
      </c>
      <c r="L16" s="5">
        <f>LOG(G16)</f>
        <v>5.5825178836040621</v>
      </c>
      <c r="M16" s="5">
        <f>LOG(J16)</f>
        <v>6.9403434299272186</v>
      </c>
      <c r="N16" s="5"/>
      <c r="O16" s="5"/>
      <c r="P16" s="18">
        <f>J16*7/365 - G16</f>
        <v>-215233.74794520548</v>
      </c>
    </row>
    <row r="17" spans="1:16" x14ac:dyDescent="0.4">
      <c r="A17" s="5" t="s">
        <v>105</v>
      </c>
      <c r="B17" s="5" t="s">
        <v>106</v>
      </c>
      <c r="C17" s="5">
        <v>31.807200000000002</v>
      </c>
      <c r="D17" s="5">
        <v>-106.378</v>
      </c>
      <c r="E17" s="5">
        <v>0</v>
      </c>
      <c r="F17" s="5">
        <v>0</v>
      </c>
      <c r="G17" s="10">
        <v>239170</v>
      </c>
      <c r="H17" s="5">
        <v>432</v>
      </c>
      <c r="I17" s="5">
        <v>90.37</v>
      </c>
      <c r="J17" s="20">
        <v>3838968</v>
      </c>
      <c r="K17" s="5">
        <f>LOG(H17)</f>
        <v>2.6354837468149119</v>
      </c>
      <c r="L17" s="5">
        <f>LOG(G17)</f>
        <v>5.3787067035289526</v>
      </c>
      <c r="M17" s="5">
        <f>LOG(J17)</f>
        <v>6.5842144920389103</v>
      </c>
      <c r="N17" s="5"/>
      <c r="O17" s="5"/>
      <c r="P17" s="18">
        <f>J17*7/365 - G17</f>
        <v>-165545.95616438356</v>
      </c>
    </row>
    <row r="18" spans="1:16" x14ac:dyDescent="0.4">
      <c r="A18" s="5" t="s">
        <v>182</v>
      </c>
      <c r="B18" s="5" t="s">
        <v>183</v>
      </c>
      <c r="C18" s="5">
        <v>27.6966</v>
      </c>
      <c r="D18" s="5">
        <v>85.359099999999998</v>
      </c>
      <c r="E18" s="5">
        <v>161766</v>
      </c>
      <c r="F18" s="5">
        <v>51.7</v>
      </c>
      <c r="G18" s="10">
        <f>ROUND(IF(F18=0,"",IF(F18="","",E18/(F18/100))),0)</f>
        <v>312894</v>
      </c>
      <c r="H18" s="5">
        <v>252</v>
      </c>
      <c r="I18" s="5">
        <v>94.39</v>
      </c>
      <c r="J18" s="20">
        <v>8991993</v>
      </c>
      <c r="K18" s="5">
        <f>LOG(H18)</f>
        <v>2.4014005407815442</v>
      </c>
      <c r="L18" s="5">
        <f>LOG(G18)</f>
        <v>5.4953972352718718</v>
      </c>
      <c r="M18" s="5">
        <f>LOG(J18)</f>
        <v>6.9538559601397374</v>
      </c>
      <c r="N18" s="5"/>
      <c r="O18" s="5"/>
      <c r="P18" s="18">
        <f>J18*7/365 - G18</f>
        <v>-140444.81917808219</v>
      </c>
    </row>
    <row r="19" spans="1:16" x14ac:dyDescent="0.4">
      <c r="A19" s="5" t="s">
        <v>168</v>
      </c>
      <c r="B19" s="5" t="s">
        <v>169</v>
      </c>
      <c r="C19" s="5">
        <v>34.565899999999999</v>
      </c>
      <c r="D19" s="5">
        <v>69.212299999999999</v>
      </c>
      <c r="E19" s="5">
        <v>1912</v>
      </c>
      <c r="F19" s="5">
        <v>1.2</v>
      </c>
      <c r="G19" s="10">
        <f>ROUND(IF(F19=0,"",IF(F19="","",E19/(F19/100))),0)</f>
        <v>159333</v>
      </c>
      <c r="H19" s="5">
        <v>845</v>
      </c>
      <c r="I19" s="5">
        <v>81.17</v>
      </c>
      <c r="J19" s="20">
        <v>1237662</v>
      </c>
      <c r="K19" s="5">
        <f>LOG(H19)</f>
        <v>2.9268567089496922</v>
      </c>
      <c r="L19" s="5">
        <f>LOG(G19)</f>
        <v>5.2023057333256446</v>
      </c>
      <c r="M19" s="5">
        <f>LOG(J19)</f>
        <v>6.09260205698045</v>
      </c>
      <c r="N19" s="5"/>
      <c r="O19" s="5"/>
      <c r="P19" s="18">
        <f>J19*7/365 - G19</f>
        <v>-135597.01643835616</v>
      </c>
    </row>
    <row r="20" spans="1:16" x14ac:dyDescent="0.4">
      <c r="A20" s="5" t="s">
        <v>236</v>
      </c>
      <c r="B20" s="5" t="s">
        <v>237</v>
      </c>
      <c r="C20" s="5">
        <v>16.907299999999999</v>
      </c>
      <c r="D20" s="5">
        <v>96.133200000000002</v>
      </c>
      <c r="E20" s="5">
        <v>1912</v>
      </c>
      <c r="F20" s="5">
        <v>1</v>
      </c>
      <c r="G20" s="10">
        <f>ROUND(IF(F20=0,"",IF(F20="","",E20/(F20/100))),0)</f>
        <v>191200</v>
      </c>
      <c r="H20" s="5">
        <v>451</v>
      </c>
      <c r="I20" s="5">
        <v>89.95</v>
      </c>
      <c r="J20" s="20">
        <v>3622313</v>
      </c>
      <c r="K20" s="5">
        <f>LOG(H20)</f>
        <v>2.6541765418779604</v>
      </c>
      <c r="L20" s="5">
        <f>LOG(G20)</f>
        <v>5.2814878879400808</v>
      </c>
      <c r="M20" s="5">
        <f>LOG(J20)</f>
        <v>6.5589859744981132</v>
      </c>
      <c r="N20" s="5"/>
      <c r="O20" s="5"/>
      <c r="P20" s="18">
        <f>J20*7/365 - G20</f>
        <v>-121730.98356164384</v>
      </c>
    </row>
    <row r="21" spans="1:16" x14ac:dyDescent="0.4">
      <c r="A21" s="5" t="s">
        <v>41</v>
      </c>
      <c r="B21" s="5" t="s">
        <v>42</v>
      </c>
      <c r="C21" s="5">
        <v>33.820900000000002</v>
      </c>
      <c r="D21" s="5">
        <v>35.488399999999999</v>
      </c>
      <c r="E21" s="5">
        <v>762</v>
      </c>
      <c r="F21" s="5">
        <v>0.3</v>
      </c>
      <c r="G21" s="10">
        <f>ROUND(IF(F21=0,"",IF(F21="","",E21/(F21/100))),0)</f>
        <v>254000</v>
      </c>
      <c r="H21" s="5">
        <v>293</v>
      </c>
      <c r="I21" s="5">
        <v>93.47</v>
      </c>
      <c r="J21" s="20">
        <v>7127649</v>
      </c>
      <c r="K21" s="5">
        <f>LOG(H21)</f>
        <v>2.4668676203541096</v>
      </c>
      <c r="L21" s="5">
        <f>LOG(G21)</f>
        <v>5.4048337166199385</v>
      </c>
      <c r="M21" s="5">
        <f>LOG(J21)</f>
        <v>6.8529463047891346</v>
      </c>
      <c r="N21" s="5"/>
      <c r="O21" s="5"/>
      <c r="P21" s="18">
        <f>J21*7/365 - G21</f>
        <v>-117305.36164383561</v>
      </c>
    </row>
    <row r="22" spans="1:16" x14ac:dyDescent="0.4">
      <c r="A22" s="5" t="s">
        <v>152</v>
      </c>
      <c r="B22" s="5" t="s">
        <v>153</v>
      </c>
      <c r="C22" s="5">
        <v>26.6812</v>
      </c>
      <c r="D22" s="5">
        <v>88.328599999999994</v>
      </c>
      <c r="E22" s="5">
        <v>1026</v>
      </c>
      <c r="F22" s="5">
        <v>0.6</v>
      </c>
      <c r="G22" s="10">
        <f>ROUND(IF(F22=0,"",IF(F22="","",E22/(F22/100))),0)</f>
        <v>171000</v>
      </c>
      <c r="H22" s="5">
        <v>497</v>
      </c>
      <c r="I22" s="5">
        <v>88.93</v>
      </c>
      <c r="J22" s="20">
        <v>3118368</v>
      </c>
      <c r="K22" s="5">
        <f>LOG(H22)</f>
        <v>2.6963563887333319</v>
      </c>
      <c r="L22" s="5">
        <f>LOG(G22)</f>
        <v>5.2329961103921541</v>
      </c>
      <c r="M22" s="5">
        <f>LOG(J22)</f>
        <v>6.4939273651628717</v>
      </c>
      <c r="N22" s="5"/>
      <c r="O22" s="5"/>
      <c r="P22" s="18">
        <f>J22*7/365 - G22</f>
        <v>-111195.68219178083</v>
      </c>
    </row>
    <row r="23" spans="1:16" x14ac:dyDescent="0.4">
      <c r="A23" s="5" t="s">
        <v>107</v>
      </c>
      <c r="B23" s="5" t="s">
        <v>286</v>
      </c>
      <c r="C23" s="5">
        <v>40.128100000000003</v>
      </c>
      <c r="D23" s="5">
        <v>32.995100000000001</v>
      </c>
      <c r="E23" s="5">
        <v>1070</v>
      </c>
      <c r="F23" s="5">
        <v>0.3</v>
      </c>
      <c r="G23" s="10">
        <f>ROUND(IF(F23=0,"",IF(F23="","",E23/(F23/100))),0)</f>
        <v>356667</v>
      </c>
      <c r="H23" s="5">
        <v>187</v>
      </c>
      <c r="I23" s="5">
        <v>95.83</v>
      </c>
      <c r="J23" s="20">
        <v>12853024</v>
      </c>
      <c r="K23" s="5">
        <f>LOG(H23)</f>
        <v>2.271841606536499</v>
      </c>
      <c r="L23" s="5">
        <f>LOG(G23)</f>
        <v>5.5522629288480507</v>
      </c>
      <c r="M23" s="5">
        <f>LOG(J23)</f>
        <v>7.1090053184849644</v>
      </c>
      <c r="N23" s="5"/>
      <c r="O23" s="5"/>
      <c r="P23" s="18">
        <f>J23*7/365 - G23</f>
        <v>-110170.6493150685</v>
      </c>
    </row>
    <row r="24" spans="1:16" x14ac:dyDescent="0.4">
      <c r="A24" s="5" t="s">
        <v>116</v>
      </c>
      <c r="B24" s="5" t="s">
        <v>117</v>
      </c>
      <c r="C24" s="5">
        <v>40.467500000000001</v>
      </c>
      <c r="D24" s="5">
        <v>50.046700000000001</v>
      </c>
      <c r="E24" s="5">
        <v>508</v>
      </c>
      <c r="F24" s="5">
        <v>0.2</v>
      </c>
      <c r="G24" s="10">
        <f>ROUND(IF(F24=0,"",IF(F24="","",E24/(F24/100))),0)</f>
        <v>254000</v>
      </c>
      <c r="H24" s="5">
        <v>282</v>
      </c>
      <c r="I24" s="5">
        <v>93.72</v>
      </c>
      <c r="J24" s="20">
        <v>7537000</v>
      </c>
      <c r="K24" s="5">
        <f>LOG(H24)</f>
        <v>2.4502491083193609</v>
      </c>
      <c r="L24" s="5">
        <f>LOG(G24)</f>
        <v>5.4048337166199385</v>
      </c>
      <c r="M24" s="5">
        <f>LOG(J24)</f>
        <v>6.8771985152717896</v>
      </c>
      <c r="N24" s="5"/>
      <c r="O24" s="5"/>
      <c r="P24" s="18">
        <f>J24*7/365 - G24</f>
        <v>-109454.79452054793</v>
      </c>
    </row>
    <row r="25" spans="1:16" x14ac:dyDescent="0.4">
      <c r="A25" s="5" t="s">
        <v>188</v>
      </c>
      <c r="B25" s="5" t="s">
        <v>189</v>
      </c>
      <c r="C25" s="5">
        <v>31.521599999999999</v>
      </c>
      <c r="D25" s="5">
        <v>74.403599999999997</v>
      </c>
      <c r="E25" s="5">
        <v>1912</v>
      </c>
      <c r="F25" s="5">
        <v>1.1000000000000001</v>
      </c>
      <c r="G25" s="10">
        <f>ROUND(IF(F25=0,"",IF(F25="","",E25/(F25/100))),0)</f>
        <v>173818</v>
      </c>
      <c r="H25" s="5">
        <v>442</v>
      </c>
      <c r="I25" s="5">
        <v>90.15</v>
      </c>
      <c r="J25" s="20">
        <v>3695960</v>
      </c>
      <c r="K25" s="5">
        <f>LOG(H25)</f>
        <v>2.6454222693490919</v>
      </c>
      <c r="L25" s="5">
        <f>LOG(G25)</f>
        <v>5.2400947484986879</v>
      </c>
      <c r="M25" s="5">
        <f>LOG(J25)</f>
        <v>6.5677272623659047</v>
      </c>
      <c r="N25" s="5"/>
      <c r="O25" s="5"/>
      <c r="P25" s="18">
        <f>J25*7/365 - G25</f>
        <v>-102936.57534246576</v>
      </c>
    </row>
    <row r="26" spans="1:16" x14ac:dyDescent="0.4">
      <c r="A26" s="5" t="s">
        <v>146</v>
      </c>
      <c r="B26" s="5" t="s">
        <v>147</v>
      </c>
      <c r="C26" s="5">
        <v>33.560699999999997</v>
      </c>
      <c r="D26" s="5">
        <v>72.851600000000005</v>
      </c>
      <c r="E26" s="5">
        <v>1070</v>
      </c>
      <c r="F26" s="5">
        <v>0.5</v>
      </c>
      <c r="G26" s="10">
        <f>ROUND(IF(F26=0,"",IF(F26="","",E26/(F26/100))),0)</f>
        <v>214000</v>
      </c>
      <c r="H26" s="5">
        <v>327</v>
      </c>
      <c r="I26" s="5">
        <v>92.71</v>
      </c>
      <c r="J26" s="20">
        <v>6024221</v>
      </c>
      <c r="K26" s="5">
        <f>LOG(H26)</f>
        <v>2.514547752660286</v>
      </c>
      <c r="L26" s="5">
        <f>LOG(G26)</f>
        <v>5.330413773349191</v>
      </c>
      <c r="M26" s="5">
        <f>LOG(J26)</f>
        <v>6.7799008956826796</v>
      </c>
      <c r="N26" s="5"/>
      <c r="O26" s="5"/>
      <c r="P26" s="18">
        <f>J26*7/365 - G26</f>
        <v>-98466.994520547945</v>
      </c>
    </row>
    <row r="27" spans="1:16" x14ac:dyDescent="0.4">
      <c r="A27" s="5" t="s">
        <v>176</v>
      </c>
      <c r="B27" s="5" t="s">
        <v>177</v>
      </c>
      <c r="C27" s="5">
        <v>24.906500000000001</v>
      </c>
      <c r="D27" s="5">
        <v>67.160799999999995</v>
      </c>
      <c r="E27" s="5">
        <v>1894</v>
      </c>
      <c r="F27" s="5">
        <v>1</v>
      </c>
      <c r="G27" s="10">
        <f>ROUND(IF(F27=0,"",IF(F27="","",E27/(F27/100))),0)</f>
        <v>189400</v>
      </c>
      <c r="H27" s="5">
        <v>358</v>
      </c>
      <c r="I27" s="5">
        <v>92.01</v>
      </c>
      <c r="J27" s="20">
        <v>5165904</v>
      </c>
      <c r="K27" s="5">
        <f>LOG(H27)</f>
        <v>2.5538830266438746</v>
      </c>
      <c r="L27" s="5">
        <f>LOG(G27)</f>
        <v>5.2773799746672543</v>
      </c>
      <c r="M27" s="5">
        <f>LOG(J27)</f>
        <v>6.7131463312492903</v>
      </c>
      <c r="N27" s="5"/>
      <c r="O27" s="5"/>
      <c r="P27" s="18">
        <f>J27*7/365 - G27</f>
        <v>-90327.868493150687</v>
      </c>
    </row>
    <row r="28" spans="1:16" x14ac:dyDescent="0.4">
      <c r="A28" s="5" t="s">
        <v>226</v>
      </c>
      <c r="B28" s="5" t="s">
        <v>227</v>
      </c>
      <c r="C28" s="5">
        <v>27.403199999999998</v>
      </c>
      <c r="D28" s="5">
        <v>89.424599999999998</v>
      </c>
      <c r="E28" s="5">
        <v>4742</v>
      </c>
      <c r="F28" s="5">
        <v>6.1</v>
      </c>
      <c r="G28" s="10">
        <f>ROUND(IF(F28=0,"",IF(F28="","",E28/(F28/100))),0)</f>
        <v>77738</v>
      </c>
      <c r="H28" s="5">
        <v>1780</v>
      </c>
      <c r="I28" s="5">
        <v>60.34</v>
      </c>
      <c r="J28" s="20">
        <v>181659</v>
      </c>
      <c r="K28" s="5">
        <f>LOG(H28)</f>
        <v>3.2504200023088941</v>
      </c>
      <c r="L28" s="5">
        <f>LOG(G28)</f>
        <v>4.8906333631522454</v>
      </c>
      <c r="M28" s="5">
        <f>LOG(J28)</f>
        <v>5.2592569191462237</v>
      </c>
      <c r="N28" s="5"/>
      <c r="O28" s="5"/>
      <c r="P28" s="18">
        <f>J28*7/365 - G28</f>
        <v>-74254.128767123286</v>
      </c>
    </row>
    <row r="29" spans="1:16" x14ac:dyDescent="0.4">
      <c r="A29" s="5" t="s">
        <v>272</v>
      </c>
      <c r="B29" s="5" t="s">
        <v>273</v>
      </c>
      <c r="C29" s="5">
        <v>47.646900000000002</v>
      </c>
      <c r="D29" s="5">
        <v>106.8197</v>
      </c>
      <c r="E29" s="5">
        <v>943</v>
      </c>
      <c r="F29" s="5">
        <v>0.9</v>
      </c>
      <c r="G29" s="10">
        <f>ROUND(IF(F29=0,"",IF(F29="","",E29/(F29/100))),0)</f>
        <v>104778</v>
      </c>
      <c r="H29" s="5">
        <v>618</v>
      </c>
      <c r="I29" s="5">
        <v>86.23</v>
      </c>
      <c r="J29" s="20">
        <v>2167270</v>
      </c>
      <c r="K29" s="5">
        <f>LOG(H29)</f>
        <v>2.7909884750888159</v>
      </c>
      <c r="L29" s="5">
        <f>LOG(G29)</f>
        <v>5.020270104388187</v>
      </c>
      <c r="M29" s="5">
        <f>LOG(J29)</f>
        <v>6.3359130193981175</v>
      </c>
      <c r="N29" s="5"/>
      <c r="O29" s="5"/>
      <c r="P29" s="18">
        <f>J29*7/365 - G29</f>
        <v>-63213.917808219179</v>
      </c>
    </row>
    <row r="30" spans="1:16" x14ac:dyDescent="0.4">
      <c r="A30" s="5" t="s">
        <v>156</v>
      </c>
      <c r="B30" s="5" t="s">
        <v>157</v>
      </c>
      <c r="C30" s="5">
        <v>34.135899999999999</v>
      </c>
      <c r="D30" s="5">
        <v>77.546499999999995</v>
      </c>
      <c r="E30" s="5">
        <v>2180</v>
      </c>
      <c r="F30" s="5">
        <v>2.8</v>
      </c>
      <c r="G30" s="10">
        <f>ROUND(IF(F30=0,"",IF(F30="","",E30/(F30/100))),0)</f>
        <v>77857</v>
      </c>
      <c r="H30" s="5">
        <v>909</v>
      </c>
      <c r="I30" s="5">
        <v>79.75</v>
      </c>
      <c r="J30" s="20">
        <v>1074426</v>
      </c>
      <c r="K30" s="5">
        <f>LOG(H30)</f>
        <v>2.9585638832219674</v>
      </c>
      <c r="L30" s="5">
        <f>LOG(G30)</f>
        <v>4.8912976653910452</v>
      </c>
      <c r="M30" s="5">
        <f>LOG(J30)</f>
        <v>6.031176509265932</v>
      </c>
      <c r="N30" s="5"/>
      <c r="O30" s="5"/>
      <c r="P30" s="18">
        <f>J30*7/365 - G30</f>
        <v>-57251.569863013698</v>
      </c>
    </row>
    <row r="31" spans="1:16" x14ac:dyDescent="0.4">
      <c r="A31" s="5" t="s">
        <v>108</v>
      </c>
      <c r="B31" s="5" t="s">
        <v>109</v>
      </c>
      <c r="C31" s="5">
        <v>62.063600000000001</v>
      </c>
      <c r="D31" s="5">
        <v>-7.2771999999999997</v>
      </c>
      <c r="E31" s="5">
        <v>668</v>
      </c>
      <c r="F31" s="5">
        <v>1.1000000000000001</v>
      </c>
      <c r="G31" s="10">
        <f>ROUND(IF(F31=0,"",IF(F31="","",E31/(F31/100))),0)</f>
        <v>60727</v>
      </c>
      <c r="H31" s="5">
        <v>1414</v>
      </c>
      <c r="I31" s="5">
        <v>68.489999999999995</v>
      </c>
      <c r="J31" s="20">
        <v>377813</v>
      </c>
      <c r="K31" s="5">
        <f>LOG(H31)</f>
        <v>3.1504494094608808</v>
      </c>
      <c r="L31" s="5">
        <f>LOG(G31)</f>
        <v>4.783381826888621</v>
      </c>
      <c r="M31" s="5">
        <f>LOG(J31)</f>
        <v>5.5772768972891793</v>
      </c>
      <c r="N31" s="5"/>
      <c r="O31" s="5"/>
      <c r="P31" s="18">
        <f>J31*7/365 - G31</f>
        <v>-53481.271232876708</v>
      </c>
    </row>
    <row r="32" spans="1:16" x14ac:dyDescent="0.4">
      <c r="A32" s="5" t="s">
        <v>256</v>
      </c>
      <c r="B32" s="5" t="s">
        <v>257</v>
      </c>
      <c r="C32" s="5">
        <v>33.987099999999998</v>
      </c>
      <c r="D32" s="5">
        <v>74.774199999999993</v>
      </c>
      <c r="E32" s="5">
        <v>1070</v>
      </c>
      <c r="F32" s="5">
        <v>0.8</v>
      </c>
      <c r="G32" s="10">
        <f>ROUND(IF(F32=0,"",IF(F32="","",E32/(F32/100))),0)</f>
        <v>133750</v>
      </c>
      <c r="H32" s="5">
        <v>403</v>
      </c>
      <c r="I32" s="5">
        <v>91.02</v>
      </c>
      <c r="J32" s="20">
        <v>4205541</v>
      </c>
      <c r="K32" s="5">
        <f>LOG(H32)</f>
        <v>2.6053050461411096</v>
      </c>
      <c r="L32" s="5">
        <f>LOG(G32)</f>
        <v>5.126293790693266</v>
      </c>
      <c r="M32" s="5">
        <f>LOG(J32)</f>
        <v>6.6238218712877686</v>
      </c>
      <c r="N32" s="5"/>
      <c r="O32" s="5"/>
      <c r="P32" s="18">
        <f>J32*7/365 - G32</f>
        <v>-53095.789041095893</v>
      </c>
    </row>
    <row r="33" spans="1:16" x14ac:dyDescent="0.4">
      <c r="A33" s="5" t="s">
        <v>112</v>
      </c>
      <c r="B33" s="5" t="s">
        <v>113</v>
      </c>
      <c r="C33" s="5">
        <v>26.106100000000001</v>
      </c>
      <c r="D33" s="5">
        <v>91.585899999999995</v>
      </c>
      <c r="E33" s="5">
        <v>4584</v>
      </c>
      <c r="F33" s="5">
        <v>2.8</v>
      </c>
      <c r="G33" s="10">
        <f>ROUND(IF(F33=0,"",IF(F33="","",E33/(F33/100))),0)</f>
        <v>163714</v>
      </c>
      <c r="H33" s="5">
        <v>329</v>
      </c>
      <c r="I33" s="5">
        <v>92.67</v>
      </c>
      <c r="J33" s="20">
        <v>5957609</v>
      </c>
      <c r="K33" s="5">
        <f>LOG(H33)</f>
        <v>2.5171958979499744</v>
      </c>
      <c r="L33" s="5">
        <f>LOG(G33)</f>
        <v>5.2140858196854198</v>
      </c>
      <c r="M33" s="5">
        <f>LOG(J33)</f>
        <v>6.7750719969128248</v>
      </c>
      <c r="N33" s="5"/>
      <c r="O33" s="5"/>
      <c r="P33" s="18">
        <f>J33*7/365 - G33</f>
        <v>-49458.484931506842</v>
      </c>
    </row>
    <row r="34" spans="1:16" x14ac:dyDescent="0.4">
      <c r="A34" s="5" t="s">
        <v>180</v>
      </c>
      <c r="B34" s="5" t="s">
        <v>181</v>
      </c>
      <c r="C34" s="5">
        <v>11.3629</v>
      </c>
      <c r="D34" s="5">
        <v>104.9166</v>
      </c>
      <c r="E34" s="5">
        <v>816</v>
      </c>
      <c r="F34" s="5">
        <v>0.6</v>
      </c>
      <c r="G34" s="10">
        <f>ROUND(IF(F34=0,"",IF(F34="","",E34/(F34/100))),0)</f>
        <v>136000</v>
      </c>
      <c r="H34" s="5">
        <v>379</v>
      </c>
      <c r="I34" s="5">
        <v>91.56</v>
      </c>
      <c r="J34" s="20">
        <v>4746000</v>
      </c>
      <c r="K34" s="5">
        <f>LOG(H34)</f>
        <v>2.5786392099680722</v>
      </c>
      <c r="L34" s="5">
        <f>LOG(G34)</f>
        <v>5.1335389083702179</v>
      </c>
      <c r="M34" s="5">
        <f>LOG(J34)</f>
        <v>6.6763277338813198</v>
      </c>
      <c r="N34" s="5"/>
      <c r="O34" s="5"/>
      <c r="P34" s="18">
        <f>J34*7/365 - G34</f>
        <v>-44980.821917808222</v>
      </c>
    </row>
    <row r="35" spans="1:16" x14ac:dyDescent="0.4">
      <c r="A35" s="5" t="s">
        <v>85</v>
      </c>
      <c r="B35" s="5" t="s">
        <v>86</v>
      </c>
      <c r="C35" s="5">
        <v>30.189699999999998</v>
      </c>
      <c r="D35" s="5">
        <v>78.180300000000003</v>
      </c>
      <c r="E35" s="5">
        <v>1528</v>
      </c>
      <c r="F35" s="5">
        <v>2.1</v>
      </c>
      <c r="G35" s="10">
        <f>ROUND(IF(F35=0,"",IF(F35="","",E35/(F35/100))),0)</f>
        <v>72762</v>
      </c>
      <c r="H35" s="5">
        <v>733</v>
      </c>
      <c r="I35" s="5">
        <v>83.67</v>
      </c>
      <c r="J35" s="20">
        <v>1598297</v>
      </c>
      <c r="K35" s="5">
        <f>LOG(H35)</f>
        <v>2.8651039746411278</v>
      </c>
      <c r="L35" s="5">
        <f>LOG(G35)</f>
        <v>4.8619046279536544</v>
      </c>
      <c r="M35" s="5">
        <f>LOG(J35)</f>
        <v>6.2036574842872119</v>
      </c>
      <c r="N35" s="5"/>
      <c r="O35" s="5"/>
      <c r="P35" s="18">
        <f>J35*7/365 - G35</f>
        <v>-42109.728767123292</v>
      </c>
    </row>
    <row r="36" spans="1:16" x14ac:dyDescent="0.4">
      <c r="A36" s="5" t="s">
        <v>130</v>
      </c>
      <c r="B36" s="5" t="s">
        <v>131</v>
      </c>
      <c r="C36" s="5">
        <v>37.038499999999999</v>
      </c>
      <c r="D36" s="5">
        <v>79.864900000000006</v>
      </c>
      <c r="E36" s="5">
        <v>670</v>
      </c>
      <c r="F36" s="5">
        <v>0.9</v>
      </c>
      <c r="G36" s="10">
        <f>ROUND(IF(F36=0,"",IF(F36="","",E36/(F36/100))),0)</f>
        <v>74444</v>
      </c>
      <c r="H36" s="5">
        <v>661</v>
      </c>
      <c r="I36" s="5">
        <v>85.27</v>
      </c>
      <c r="J36" s="20">
        <v>1939110</v>
      </c>
      <c r="K36" s="5">
        <f>LOG(H36)</f>
        <v>2.8202014594856402</v>
      </c>
      <c r="L36" s="5">
        <f>LOG(G36)</f>
        <v>4.8718297004508848</v>
      </c>
      <c r="M36" s="5">
        <f>LOG(J36)</f>
        <v>6.2876024460245485</v>
      </c>
      <c r="N36" s="5"/>
      <c r="O36" s="5"/>
      <c r="P36" s="18">
        <f>J36*7/365 - G36</f>
        <v>-37255.589041095889</v>
      </c>
    </row>
    <row r="37" spans="1:16" x14ac:dyDescent="0.4">
      <c r="A37" s="5" t="s">
        <v>262</v>
      </c>
      <c r="B37" s="5" t="s">
        <v>263</v>
      </c>
      <c r="C37" s="5">
        <v>41.669199999999996</v>
      </c>
      <c r="D37" s="5">
        <v>44.954700000000003</v>
      </c>
      <c r="E37" s="5">
        <v>762</v>
      </c>
      <c r="F37" s="5">
        <v>0.6</v>
      </c>
      <c r="G37" s="10">
        <f>ROUND(IF(F37=0,"",IF(F37="","",E37/(F37/100))),0)</f>
        <v>127000</v>
      </c>
      <c r="H37" s="5">
        <v>378</v>
      </c>
      <c r="I37" s="5">
        <v>91.58</v>
      </c>
      <c r="J37" s="20">
        <v>4750830</v>
      </c>
      <c r="K37" s="5">
        <f>LOG(H37)</f>
        <v>2.5774917998372255</v>
      </c>
      <c r="L37" s="5">
        <f>LOG(G37)</f>
        <v>5.1038037209559572</v>
      </c>
      <c r="M37" s="5">
        <f>LOG(J37)</f>
        <v>6.6767694902418011</v>
      </c>
      <c r="N37" s="5"/>
      <c r="O37" s="5"/>
      <c r="P37" s="18">
        <f>J37*7/365 - G37</f>
        <v>-35888.191780821915</v>
      </c>
    </row>
    <row r="38" spans="1:16" x14ac:dyDescent="0.4">
      <c r="A38" s="5" t="s">
        <v>194</v>
      </c>
      <c r="B38" s="5" t="s">
        <v>195</v>
      </c>
      <c r="C38" s="5">
        <v>29.297799999999999</v>
      </c>
      <c r="D38" s="5">
        <v>90.911900000000003</v>
      </c>
      <c r="E38" s="5">
        <v>2524</v>
      </c>
      <c r="F38" s="5">
        <v>1.7</v>
      </c>
      <c r="G38" s="10">
        <f>ROUND(IF(F38=0,"",IF(F38="","",E38/(F38/100))),0)</f>
        <v>148471</v>
      </c>
      <c r="H38" s="5">
        <v>319</v>
      </c>
      <c r="I38" s="5">
        <v>92.89</v>
      </c>
      <c r="J38" s="20">
        <v>6284823</v>
      </c>
      <c r="K38" s="5">
        <f>LOG(H38)</f>
        <v>2.503790683057181</v>
      </c>
      <c r="L38" s="5">
        <f>LOG(G38)</f>
        <v>5.1716416336538691</v>
      </c>
      <c r="M38" s="5">
        <f>LOG(J38)</f>
        <v>6.7982930511220978</v>
      </c>
      <c r="N38" s="5"/>
      <c r="O38" s="5"/>
      <c r="P38" s="18">
        <f>J38*7/365 - G38</f>
        <v>-27940.147945205477</v>
      </c>
    </row>
    <row r="39" spans="1:16" x14ac:dyDescent="0.4">
      <c r="A39" s="5" t="s">
        <v>43</v>
      </c>
      <c r="B39" s="5" t="s">
        <v>44</v>
      </c>
      <c r="C39" s="5">
        <v>33.262500000000003</v>
      </c>
      <c r="D39" s="5">
        <v>44.2346</v>
      </c>
      <c r="E39" s="5">
        <v>0</v>
      </c>
      <c r="F39" s="5">
        <v>0</v>
      </c>
      <c r="G39" s="10">
        <v>83789</v>
      </c>
      <c r="H39" s="5">
        <v>528</v>
      </c>
      <c r="I39" s="5">
        <v>88.24</v>
      </c>
      <c r="J39" s="20">
        <v>2915052</v>
      </c>
      <c r="K39" s="5">
        <f>LOG(H39)</f>
        <v>2.7226339225338121</v>
      </c>
      <c r="L39" s="5">
        <f>LOG(G39)</f>
        <v>4.923187007259509</v>
      </c>
      <c r="M39" s="5">
        <f>LOG(J39)</f>
        <v>6.4646463063031403</v>
      </c>
      <c r="N39" s="5"/>
      <c r="O39" s="5"/>
      <c r="P39" s="18">
        <f>J39*7/365 - G39</f>
        <v>-27883.893150684933</v>
      </c>
    </row>
    <row r="40" spans="1:16" x14ac:dyDescent="0.4">
      <c r="A40" s="5" t="s">
        <v>174</v>
      </c>
      <c r="B40" s="5" t="s">
        <v>175</v>
      </c>
      <c r="C40" s="5">
        <v>39.542900000000003</v>
      </c>
      <c r="D40" s="5">
        <v>76.02</v>
      </c>
      <c r="E40" s="5">
        <v>1912</v>
      </c>
      <c r="F40" s="5">
        <v>1.5</v>
      </c>
      <c r="G40" s="10">
        <f>ROUND(IF(F40=0,"",IF(F40="","",E40/(F40/100))),0)</f>
        <v>127467</v>
      </c>
      <c r="H40" s="5">
        <v>352</v>
      </c>
      <c r="I40" s="5">
        <v>92.16</v>
      </c>
      <c r="J40" s="20">
        <v>5233499</v>
      </c>
      <c r="K40" s="5">
        <f>LOG(H40)</f>
        <v>2.5465426634781312</v>
      </c>
      <c r="L40" s="5">
        <f>LOG(G40)</f>
        <v>5.1053977645902426</v>
      </c>
      <c r="M40" s="5">
        <f>LOG(J40)</f>
        <v>6.7187921455202204</v>
      </c>
      <c r="N40" s="5"/>
      <c r="O40" s="5"/>
      <c r="P40" s="18">
        <f>J40*7/365 - G40</f>
        <v>-27098.526027397267</v>
      </c>
    </row>
    <row r="41" spans="1:16" x14ac:dyDescent="0.4">
      <c r="A41" s="5" t="s">
        <v>39</v>
      </c>
      <c r="B41" s="5" t="s">
        <v>40</v>
      </c>
      <c r="C41" s="5">
        <v>20.244399999999999</v>
      </c>
      <c r="D41" s="5">
        <v>85.817800000000005</v>
      </c>
      <c r="E41" s="5">
        <v>762</v>
      </c>
      <c r="F41" s="5">
        <v>0.7</v>
      </c>
      <c r="G41" s="10">
        <f>ROUND(IF(F41=0,"",IF(F41="","",E41/(F41/100))),0)</f>
        <v>108857</v>
      </c>
      <c r="H41" s="5">
        <v>384</v>
      </c>
      <c r="I41" s="5">
        <v>91.44</v>
      </c>
      <c r="J41" s="20">
        <v>4600615</v>
      </c>
      <c r="K41" s="5">
        <f>LOG(H41)</f>
        <v>2.5843312243675309</v>
      </c>
      <c r="L41" s="5">
        <f>LOG(G41)</f>
        <v>5.0368563613847046</v>
      </c>
      <c r="M41" s="5">
        <f>LOG(J41)</f>
        <v>6.6628158910845094</v>
      </c>
      <c r="N41" s="5"/>
      <c r="O41" s="5"/>
      <c r="P41" s="18">
        <f>J41*7/365 - G41</f>
        <v>-20626.027397260274</v>
      </c>
    </row>
    <row r="42" spans="1:16" x14ac:dyDescent="0.4">
      <c r="A42" s="5" t="s">
        <v>69</v>
      </c>
      <c r="B42" s="5" t="s">
        <v>70</v>
      </c>
      <c r="C42" s="5">
        <v>11.03</v>
      </c>
      <c r="D42" s="5">
        <v>77.043400000000005</v>
      </c>
      <c r="E42" s="5">
        <v>1528</v>
      </c>
      <c r="F42" s="5">
        <v>2.2000000000000002</v>
      </c>
      <c r="G42" s="10">
        <f>ROUND(IF(F42=0,"",IF(F42="","",E42/(F42/100))),0)</f>
        <v>69455</v>
      </c>
      <c r="H42" s="5">
        <v>530</v>
      </c>
      <c r="I42" s="5">
        <v>88.19</v>
      </c>
      <c r="J42" s="20">
        <v>2904611</v>
      </c>
      <c r="K42" s="5">
        <f>LOG(H42)</f>
        <v>2.7242758696007892</v>
      </c>
      <c r="L42" s="5">
        <f>LOG(G42)</f>
        <v>4.841703515649538</v>
      </c>
      <c r="M42" s="5">
        <f>LOG(J42)</f>
        <v>6.4630879777364578</v>
      </c>
      <c r="N42" s="5"/>
      <c r="O42" s="5"/>
      <c r="P42" s="18">
        <f>J42*7/365 - G42</f>
        <v>-13750.131506849313</v>
      </c>
    </row>
    <row r="43" spans="1:16" x14ac:dyDescent="0.4">
      <c r="A43" s="5" t="s">
        <v>214</v>
      </c>
      <c r="B43" s="5" t="s">
        <v>215</v>
      </c>
      <c r="C43" s="5">
        <v>40.9846</v>
      </c>
      <c r="D43" s="5">
        <v>71.556700000000006</v>
      </c>
      <c r="E43" s="5">
        <v>1090</v>
      </c>
      <c r="F43" s="5">
        <v>7.1</v>
      </c>
      <c r="G43" s="10">
        <f>ROUND(IF(F43=0,"",IF(F43="","",E43/(F43/100))),0)</f>
        <v>15352</v>
      </c>
      <c r="H43" s="5">
        <v>2082</v>
      </c>
      <c r="I43" s="5">
        <v>53.61</v>
      </c>
      <c r="J43" s="20">
        <v>100000</v>
      </c>
      <c r="K43" s="5">
        <f>LOG(H43)</f>
        <v>3.3184807251745174</v>
      </c>
      <c r="L43" s="5">
        <f>LOG(G43)</f>
        <v>4.1861649617274148</v>
      </c>
      <c r="M43" s="5">
        <f>LOG(J43)</f>
        <v>5</v>
      </c>
      <c r="N43" s="5"/>
      <c r="O43" s="5"/>
      <c r="P43" s="18">
        <f>J43*7/365 - G43</f>
        <v>-13434.191780821919</v>
      </c>
    </row>
    <row r="44" spans="1:16" x14ac:dyDescent="0.4">
      <c r="A44" s="5" t="s">
        <v>196</v>
      </c>
      <c r="B44" s="5" t="s">
        <v>197</v>
      </c>
      <c r="C44" s="5">
        <v>78.246099999999998</v>
      </c>
      <c r="D44" s="5">
        <v>15.4656</v>
      </c>
      <c r="E44" s="5">
        <v>313</v>
      </c>
      <c r="F44" s="5">
        <v>2</v>
      </c>
      <c r="G44" s="10">
        <f>ROUND(IF(F44=0,"",IF(F44="","",E44/(F44/100))),0)</f>
        <v>15650</v>
      </c>
      <c r="H44" s="5">
        <v>1869</v>
      </c>
      <c r="I44" s="5">
        <v>58.36</v>
      </c>
      <c r="J44" s="20">
        <v>154261</v>
      </c>
      <c r="K44" s="5">
        <f>LOG(H44)</f>
        <v>3.2716093013788319</v>
      </c>
      <c r="L44" s="5">
        <f>LOG(G44)</f>
        <v>4.1945143418824671</v>
      </c>
      <c r="M44" s="5">
        <f>LOG(J44)</f>
        <v>5.1882561423582443</v>
      </c>
      <c r="N44" s="5"/>
      <c r="O44" s="5"/>
      <c r="P44" s="18">
        <f>J44*7/365 - G44</f>
        <v>-12691.569863013698</v>
      </c>
    </row>
    <row r="45" spans="1:16" x14ac:dyDescent="0.4">
      <c r="A45" s="5" t="s">
        <v>230</v>
      </c>
      <c r="B45" s="5" t="s">
        <v>231</v>
      </c>
      <c r="C45" s="5">
        <v>33.993899999999996</v>
      </c>
      <c r="D45" s="5">
        <v>71.514600000000002</v>
      </c>
      <c r="E45" s="5">
        <v>536</v>
      </c>
      <c r="F45" s="5">
        <v>1.3</v>
      </c>
      <c r="G45" s="10">
        <f>ROUND(IF(F45=0,"",IF(F45="","",E45/(F45/100))),0)</f>
        <v>41231</v>
      </c>
      <c r="H45" s="5">
        <v>738</v>
      </c>
      <c r="I45" s="5">
        <v>83.56</v>
      </c>
      <c r="J45" s="20">
        <v>1578319</v>
      </c>
      <c r="K45" s="5">
        <f>LOG(H45)</f>
        <v>2.8680563618230415</v>
      </c>
      <c r="L45" s="5">
        <f>LOG(G45)</f>
        <v>4.6152238681318281</v>
      </c>
      <c r="M45" s="5">
        <f>LOG(J45)</f>
        <v>6.1981947846391616</v>
      </c>
      <c r="N45" s="5"/>
      <c r="O45" s="5"/>
      <c r="P45" s="18">
        <f>J45*7/365 - G45</f>
        <v>-10961.868493150683</v>
      </c>
    </row>
    <row r="46" spans="1:16" x14ac:dyDescent="0.4">
      <c r="A46" s="5" t="s">
        <v>45</v>
      </c>
      <c r="B46" s="5" t="s">
        <v>46</v>
      </c>
      <c r="C46" s="5">
        <v>39.774999999999999</v>
      </c>
      <c r="D46" s="5">
        <v>64.4833</v>
      </c>
      <c r="E46" s="5">
        <v>562</v>
      </c>
      <c r="F46" s="5">
        <v>2.7</v>
      </c>
      <c r="G46" s="10">
        <f>ROUND(IF(F46=0,"",IF(F46="","",E46/(F46/100))),0)</f>
        <v>20815</v>
      </c>
      <c r="H46" s="5">
        <v>1245</v>
      </c>
      <c r="I46" s="5">
        <v>72.260000000000005</v>
      </c>
      <c r="J46" s="20">
        <v>525000</v>
      </c>
      <c r="K46" s="5">
        <f>LOG(H46)</f>
        <v>3.0951693514317551</v>
      </c>
      <c r="L46" s="5">
        <f>LOG(G46)</f>
        <v>4.3183764152227964</v>
      </c>
      <c r="M46" s="5">
        <f>LOG(J46)</f>
        <v>5.720159303405957</v>
      </c>
      <c r="N46" s="5"/>
      <c r="O46" s="5"/>
      <c r="P46" s="18">
        <f>J46*7/365 - G46</f>
        <v>-10746.506849315068</v>
      </c>
    </row>
    <row r="47" spans="1:16" x14ac:dyDescent="0.4">
      <c r="A47" s="5" t="s">
        <v>110</v>
      </c>
      <c r="B47" s="5" t="s">
        <v>111</v>
      </c>
      <c r="C47" s="5">
        <v>39.2241</v>
      </c>
      <c r="D47" s="5">
        <v>125.67</v>
      </c>
      <c r="E47" s="5">
        <v>797</v>
      </c>
      <c r="F47" s="5">
        <v>8.1999999999999993</v>
      </c>
      <c r="G47" s="10">
        <f>ROUND(IF(F47=0,"",IF(F47="","",E47/(F47/100))),0)</f>
        <v>9720</v>
      </c>
      <c r="H47" s="5">
        <v>2441</v>
      </c>
      <c r="I47" s="5">
        <v>45.61</v>
      </c>
      <c r="J47" s="20">
        <v>46123</v>
      </c>
      <c r="K47" s="5">
        <f>LOG(H47)</f>
        <v>3.3875677794171888</v>
      </c>
      <c r="L47" s="5">
        <f>LOG(G47)</f>
        <v>3.9876662649262746</v>
      </c>
      <c r="M47" s="5">
        <f>LOG(J47)</f>
        <v>4.6639175475617929</v>
      </c>
      <c r="N47" s="5"/>
      <c r="O47" s="5"/>
      <c r="P47" s="18">
        <f>J47*7/365 - G47</f>
        <v>-8835.4493150684939</v>
      </c>
    </row>
    <row r="48" spans="1:16" x14ac:dyDescent="0.4">
      <c r="A48" s="5" t="s">
        <v>83</v>
      </c>
      <c r="B48" s="5" t="s">
        <v>84</v>
      </c>
      <c r="C48" s="5">
        <v>29.3231</v>
      </c>
      <c r="D48" s="5">
        <v>100.05329999999999</v>
      </c>
      <c r="E48" s="5">
        <v>1005</v>
      </c>
      <c r="F48" s="5">
        <v>21.9</v>
      </c>
      <c r="G48" s="10">
        <f>ROUND(IF(F48=0,"",IF(F48="","",E48/(F48/100))),0)</f>
        <v>4589</v>
      </c>
      <c r="H48" s="5">
        <v>2136</v>
      </c>
      <c r="I48" s="5">
        <v>52.41</v>
      </c>
      <c r="J48" s="20">
        <v>89635</v>
      </c>
      <c r="K48" s="5">
        <f>LOG(H48)</f>
        <v>3.3296012483565187</v>
      </c>
      <c r="L48" s="5">
        <f>LOG(G48)</f>
        <v>3.6617180576946593</v>
      </c>
      <c r="M48" s="5">
        <f>LOG(J48)</f>
        <v>4.9524776228187051</v>
      </c>
      <c r="N48" s="5"/>
      <c r="O48" s="5"/>
      <c r="P48" s="18">
        <f>J48*7/365 - G48</f>
        <v>-2869.972602739726</v>
      </c>
    </row>
    <row r="49" spans="1:16" x14ac:dyDescent="0.4">
      <c r="A49" s="5" t="s">
        <v>35</v>
      </c>
      <c r="B49" s="5" t="s">
        <v>36</v>
      </c>
      <c r="C49" s="5">
        <v>31.7226</v>
      </c>
      <c r="D49" s="5">
        <v>35.993200000000002</v>
      </c>
      <c r="E49" s="5">
        <v>1224</v>
      </c>
      <c r="F49" s="5">
        <v>0.8</v>
      </c>
      <c r="G49" s="10">
        <f>ROUND(IF(F49=0,"",IF(F49="","",E49/(F49/100))),0)</f>
        <v>153000</v>
      </c>
      <c r="H49" s="5">
        <v>275</v>
      </c>
      <c r="I49" s="5">
        <v>93.87</v>
      </c>
      <c r="J49" s="20">
        <v>7837501</v>
      </c>
      <c r="K49" s="5">
        <f>LOG(H49)</f>
        <v>2.4393326938302629</v>
      </c>
      <c r="L49" s="5">
        <f>LOG(G49)</f>
        <v>5.1846914308175984</v>
      </c>
      <c r="M49" s="5">
        <f>LOG(J49)</f>
        <v>6.8941776092511438</v>
      </c>
      <c r="N49" s="5"/>
      <c r="O49" s="5"/>
      <c r="P49" s="18">
        <f>J49*7/365 - G49</f>
        <v>-2691.7616438356054</v>
      </c>
    </row>
    <row r="50" spans="1:16" x14ac:dyDescent="0.4">
      <c r="A50" s="5" t="s">
        <v>118</v>
      </c>
      <c r="B50" s="5" t="s">
        <v>119</v>
      </c>
      <c r="C50" s="5">
        <v>31.6492</v>
      </c>
      <c r="D50" s="5">
        <v>99.822800000000001</v>
      </c>
      <c r="E50" s="5">
        <v>633</v>
      </c>
      <c r="F50" s="5">
        <v>21</v>
      </c>
      <c r="G50" s="10">
        <f>ROUND(IF(F50=0,"",IF(F50="","",E50/(F50/100))),0)</f>
        <v>3014</v>
      </c>
      <c r="H50" s="5">
        <v>2359</v>
      </c>
      <c r="I50" s="5">
        <v>47.44</v>
      </c>
      <c r="J50" s="20">
        <v>53896</v>
      </c>
      <c r="K50" s="5">
        <f>LOG(H50)</f>
        <v>3.3727279408855955</v>
      </c>
      <c r="L50" s="5">
        <f>LOG(G50)</f>
        <v>3.4791432479786129</v>
      </c>
      <c r="M50" s="5">
        <f>LOG(J50)</f>
        <v>4.7315565343446222</v>
      </c>
      <c r="N50" s="5"/>
      <c r="O50" s="5"/>
      <c r="P50" s="18">
        <f>J50*7/365 - G50</f>
        <v>-1980.3780821917808</v>
      </c>
    </row>
    <row r="51" spans="1:16" x14ac:dyDescent="0.4">
      <c r="A51" s="5" t="s">
        <v>77</v>
      </c>
      <c r="B51" s="5" t="s">
        <v>78</v>
      </c>
      <c r="C51" s="5">
        <v>21.452200000000001</v>
      </c>
      <c r="D51" s="5">
        <v>91.963899999999995</v>
      </c>
      <c r="E51" s="5">
        <v>780</v>
      </c>
      <c r="F51" s="5">
        <v>35.200000000000003</v>
      </c>
      <c r="G51" s="10">
        <f>ROUND(IF(F51=0,"",IF(F51="","",E51/(F51/100))),0)</f>
        <v>2216</v>
      </c>
      <c r="H51" s="5">
        <v>2417</v>
      </c>
      <c r="I51" s="5">
        <v>46.15</v>
      </c>
      <c r="J51" s="20">
        <v>48719</v>
      </c>
      <c r="K51" s="5">
        <f>LOG(H51)</f>
        <v>3.3832766504076504</v>
      </c>
      <c r="L51" s="5">
        <f>LOG(G51)</f>
        <v>3.345569756056392</v>
      </c>
      <c r="M51" s="5">
        <f>LOG(J51)</f>
        <v>4.6876983654429836</v>
      </c>
      <c r="N51" s="5"/>
      <c r="O51" s="5"/>
      <c r="P51" s="18">
        <f>J51*7/365 - G51</f>
        <v>-1281.66301369863</v>
      </c>
    </row>
    <row r="52" spans="1:16" x14ac:dyDescent="0.4">
      <c r="A52" s="5" t="s">
        <v>198</v>
      </c>
      <c r="B52" s="5" t="s">
        <v>199</v>
      </c>
      <c r="C52" s="5">
        <v>29.3033</v>
      </c>
      <c r="D52" s="5">
        <v>94.335300000000004</v>
      </c>
      <c r="E52" s="5">
        <v>1768</v>
      </c>
      <c r="F52" s="5">
        <v>9.1</v>
      </c>
      <c r="G52" s="10">
        <f>ROUND(IF(F52=0,"",IF(F52="","",E52/(F52/100))),0)</f>
        <v>19429</v>
      </c>
      <c r="H52" s="5">
        <v>955</v>
      </c>
      <c r="I52" s="5">
        <v>78.72</v>
      </c>
      <c r="J52" s="20">
        <v>967829</v>
      </c>
      <c r="K52" s="5">
        <f>LOG(H52)</f>
        <v>2.9800033715837464</v>
      </c>
      <c r="L52" s="5">
        <f>LOG(G52)</f>
        <v>4.2884504482756363</v>
      </c>
      <c r="M52" s="5">
        <f>LOG(J52)</f>
        <v>5.9857986311547942</v>
      </c>
      <c r="N52" s="5"/>
      <c r="O52" s="5"/>
      <c r="P52" s="18">
        <f>J52*7/365 - G52</f>
        <v>-867.89589041096042</v>
      </c>
    </row>
    <row r="53" spans="1:16" x14ac:dyDescent="0.4">
      <c r="A53" s="5" t="s">
        <v>264</v>
      </c>
      <c r="B53" s="5" t="s">
        <v>265</v>
      </c>
      <c r="C53" s="5">
        <v>26.709099999999999</v>
      </c>
      <c r="D53" s="5">
        <v>92.784700000000001</v>
      </c>
      <c r="E53" s="5">
        <v>856</v>
      </c>
      <c r="F53" s="5">
        <v>100</v>
      </c>
      <c r="G53" s="10">
        <f>ROUND(IF(F53=0,"",IF(F53="","",E53/(F53/100))),0)</f>
        <v>856</v>
      </c>
      <c r="H53" s="5">
        <v>2614</v>
      </c>
      <c r="I53" s="5">
        <v>41.76</v>
      </c>
      <c r="J53" s="20">
        <v>32273</v>
      </c>
      <c r="K53" s="5">
        <f>LOG(H53)</f>
        <v>3.4173055832445254</v>
      </c>
      <c r="L53" s="5">
        <f>LOG(G53)</f>
        <v>2.932473764677153</v>
      </c>
      <c r="M53" s="5">
        <f>LOG(J53)</f>
        <v>4.5088393379755747</v>
      </c>
      <c r="N53" s="5"/>
      <c r="O53" s="5"/>
      <c r="P53" s="18">
        <f>J53*7/365 - G53</f>
        <v>-237.06575342465749</v>
      </c>
    </row>
    <row r="54" spans="1:16" x14ac:dyDescent="0.4">
      <c r="A54" s="5" t="s">
        <v>31</v>
      </c>
      <c r="B54" s="5" t="s">
        <v>32</v>
      </c>
      <c r="C54" s="5">
        <v>20.1327</v>
      </c>
      <c r="D54" s="5">
        <v>92.872600000000006</v>
      </c>
      <c r="E54" s="5">
        <v>513</v>
      </c>
      <c r="F54" s="5">
        <v>100</v>
      </c>
      <c r="G54" s="10">
        <f>ROUND(IF(F54=0,"",IF(F54="","",E54/(F54/100))),0)</f>
        <v>513</v>
      </c>
      <c r="H54" s="5">
        <v>3211</v>
      </c>
      <c r="I54" s="5">
        <v>28.45</v>
      </c>
      <c r="J54" s="20">
        <v>14500</v>
      </c>
      <c r="K54" s="5">
        <f>LOG(H54)</f>
        <v>3.5066403055665023</v>
      </c>
      <c r="L54" s="5">
        <f>LOG(G54)</f>
        <v>2.7101173651118162</v>
      </c>
      <c r="M54" s="5">
        <f>LOG(J54)</f>
        <v>4.1613680022349753</v>
      </c>
      <c r="N54" s="5"/>
      <c r="O54" s="5"/>
      <c r="P54" s="18">
        <f>J54*7/365 - G54</f>
        <v>-234.91780821917808</v>
      </c>
    </row>
    <row r="55" spans="1:16" x14ac:dyDescent="0.4">
      <c r="A55" s="5" t="s">
        <v>128</v>
      </c>
      <c r="B55" s="5" t="s">
        <v>129</v>
      </c>
      <c r="C55" s="5">
        <v>37.968299999999999</v>
      </c>
      <c r="D55" s="5">
        <v>75.193299999999994</v>
      </c>
      <c r="E55" s="5">
        <v>487</v>
      </c>
      <c r="F55" s="5">
        <v>100</v>
      </c>
      <c r="G55" s="10">
        <f>ROUND(IF(F55=0,"",IF(F55="","",E55/(F55/100))),0)</f>
        <v>487</v>
      </c>
      <c r="H55" s="5">
        <v>3105</v>
      </c>
      <c r="I55" s="5">
        <v>30.82</v>
      </c>
      <c r="J55" s="20">
        <v>16209</v>
      </c>
      <c r="K55" s="5">
        <f>LOG(H55)</f>
        <v>3.4920616045125992</v>
      </c>
      <c r="L55" s="5">
        <f>LOG(G55)</f>
        <v>2.6875289612146345</v>
      </c>
      <c r="M55" s="5">
        <f>LOG(J55)</f>
        <v>4.209756222258858</v>
      </c>
      <c r="N55" s="5"/>
      <c r="O55" s="5"/>
      <c r="P55" s="18">
        <f>J55*7/365 - G55</f>
        <v>-176.14246575342463</v>
      </c>
    </row>
    <row r="56" spans="1:16" x14ac:dyDescent="0.4">
      <c r="A56" s="5" t="s">
        <v>138</v>
      </c>
      <c r="B56" s="5" t="s">
        <v>139</v>
      </c>
      <c r="C56" s="5">
        <v>42.587899999999998</v>
      </c>
      <c r="D56" s="5">
        <v>76.712999999999994</v>
      </c>
      <c r="E56" s="5">
        <v>651</v>
      </c>
      <c r="F56" s="5">
        <v>100</v>
      </c>
      <c r="G56" s="10">
        <f>ROUND(IF(F56=0,"",IF(F56="","",E56/(F56/100))),0)</f>
        <v>651</v>
      </c>
      <c r="H56" s="5">
        <v>2594</v>
      </c>
      <c r="I56" s="5">
        <v>42.2</v>
      </c>
      <c r="J56" s="20">
        <v>33251</v>
      </c>
      <c r="K56" s="5">
        <f>LOG(H56)</f>
        <v>3.4139699717480614</v>
      </c>
      <c r="L56" s="5">
        <f>LOG(G56)</f>
        <v>2.8135809885681922</v>
      </c>
      <c r="M56" s="5">
        <f>LOG(J56)</f>
        <v>4.5218047109308914</v>
      </c>
      <c r="N56" s="5"/>
      <c r="O56" s="5"/>
      <c r="P56" s="18">
        <f>J56*7/365 - G56</f>
        <v>-13.309589041095933</v>
      </c>
    </row>
    <row r="57" spans="1:16" x14ac:dyDescent="0.4">
      <c r="A57" s="5" t="s">
        <v>266</v>
      </c>
      <c r="B57" s="5" t="s">
        <v>267</v>
      </c>
      <c r="C57" s="5">
        <v>37.988100000000003</v>
      </c>
      <c r="D57" s="5">
        <v>69.805000000000007</v>
      </c>
      <c r="E57" s="5">
        <v>375</v>
      </c>
      <c r="F57" s="5">
        <v>100</v>
      </c>
      <c r="G57" s="10">
        <f>ROUND(IF(F57=0,"",IF(F57="","",E57/(F57/100))),0)</f>
        <v>375</v>
      </c>
      <c r="H57" s="5">
        <v>2892</v>
      </c>
      <c r="I57" s="5">
        <v>35.56</v>
      </c>
      <c r="J57" s="20">
        <v>21442</v>
      </c>
      <c r="K57" s="5">
        <f>LOG(H57)</f>
        <v>3.461198288622493</v>
      </c>
      <c r="L57" s="5">
        <f>LOG(G57)</f>
        <v>2.5740312677277188</v>
      </c>
      <c r="M57" s="5">
        <f>LOG(J57)</f>
        <v>4.3312652916762255</v>
      </c>
      <c r="N57" s="5"/>
      <c r="O57" s="5"/>
      <c r="P57" s="18">
        <f>J57*7/365 - G57</f>
        <v>36.21643835616436</v>
      </c>
    </row>
    <row r="58" spans="1:16" x14ac:dyDescent="0.4">
      <c r="A58" s="5" t="s">
        <v>220</v>
      </c>
      <c r="B58" s="5" t="s">
        <v>221</v>
      </c>
      <c r="C58" s="5">
        <v>27.958600000000001</v>
      </c>
      <c r="D58" s="5">
        <v>35.320900000000002</v>
      </c>
      <c r="E58" s="5">
        <v>340</v>
      </c>
      <c r="F58" s="5">
        <v>100</v>
      </c>
      <c r="G58" s="10">
        <f>ROUND(IF(F58=0,"",IF(F58="","",E58/(F58/100))),0)</f>
        <v>340</v>
      </c>
      <c r="H58" s="5">
        <v>2794</v>
      </c>
      <c r="I58" s="5">
        <v>37.75</v>
      </c>
      <c r="J58" s="20">
        <v>25000</v>
      </c>
      <c r="K58" s="5">
        <f>LOG(H58)</f>
        <v>3.446226401778163</v>
      </c>
      <c r="L58" s="5">
        <f>LOG(G58)</f>
        <v>2.5314789170422549</v>
      </c>
      <c r="M58" s="5">
        <f>LOG(J58)</f>
        <v>4.3979400086720375</v>
      </c>
      <c r="N58" s="5"/>
      <c r="O58" s="5"/>
      <c r="P58" s="18">
        <f>J58*7/365 - G58</f>
        <v>139.45205479452056</v>
      </c>
    </row>
    <row r="59" spans="1:16" x14ac:dyDescent="0.4">
      <c r="A59" s="5" t="s">
        <v>63</v>
      </c>
      <c r="B59" s="5" t="s">
        <v>64</v>
      </c>
      <c r="C59" s="5">
        <v>19.952300000000001</v>
      </c>
      <c r="D59" s="5">
        <v>99.882900000000006</v>
      </c>
      <c r="E59" s="5">
        <v>804</v>
      </c>
      <c r="F59" s="5">
        <v>2.2000000000000002</v>
      </c>
      <c r="G59" s="10">
        <f>ROUND(IF(F59=0,"",IF(F59="","",E59/(F59/100))),0)</f>
        <v>36545</v>
      </c>
      <c r="H59" s="5">
        <v>667</v>
      </c>
      <c r="I59" s="5">
        <v>85.14</v>
      </c>
      <c r="J59" s="20">
        <v>1912859</v>
      </c>
      <c r="K59" s="5">
        <f>LOG(H59)</f>
        <v>2.8241258339165491</v>
      </c>
      <c r="L59" s="5">
        <f>LOG(G59)</f>
        <v>4.5628279662199915</v>
      </c>
      <c r="M59" s="5">
        <f>LOG(J59)</f>
        <v>6.2816829586426755</v>
      </c>
      <c r="N59" s="5"/>
      <c r="O59" s="5"/>
      <c r="P59" s="18">
        <f>J59*7/365 - G59</f>
        <v>139.96712328767171</v>
      </c>
    </row>
    <row r="60" spans="1:16" x14ac:dyDescent="0.4">
      <c r="A60" s="5" t="s">
        <v>57</v>
      </c>
      <c r="B60" s="5" t="s">
        <v>58</v>
      </c>
      <c r="C60" s="5">
        <v>27.505700000000001</v>
      </c>
      <c r="D60" s="5">
        <v>83.416300000000007</v>
      </c>
      <c r="E60" s="5">
        <v>775</v>
      </c>
      <c r="F60" s="5">
        <v>17.399999999999999</v>
      </c>
      <c r="G60" s="10">
        <f>ROUND(IF(F60=0,"",IF(F60="","",E60/(F60/100))),0)</f>
        <v>4454</v>
      </c>
      <c r="H60" s="5">
        <v>1642</v>
      </c>
      <c r="I60" s="5">
        <v>63.41</v>
      </c>
      <c r="J60" s="20">
        <v>245000</v>
      </c>
      <c r="K60" s="5">
        <f>LOG(H60)</f>
        <v>3.215373152783422</v>
      </c>
      <c r="L60" s="5">
        <f>LOG(G60)</f>
        <v>3.6487502126980194</v>
      </c>
      <c r="M60" s="5">
        <f>LOG(J60)</f>
        <v>5.3891660843645326</v>
      </c>
      <c r="N60" s="5"/>
      <c r="O60" s="5"/>
      <c r="P60" s="18">
        <f>J60*7/365 - G60</f>
        <v>244.6301369863013</v>
      </c>
    </row>
    <row r="61" spans="1:16" x14ac:dyDescent="0.4">
      <c r="A61" s="5" t="s">
        <v>172</v>
      </c>
      <c r="B61" s="5" t="s">
        <v>173</v>
      </c>
      <c r="C61" s="5">
        <v>35.335500000000003</v>
      </c>
      <c r="D61" s="5">
        <v>75.536000000000001</v>
      </c>
      <c r="E61" s="5">
        <v>2180</v>
      </c>
      <c r="F61" s="5">
        <v>100</v>
      </c>
      <c r="G61" s="10">
        <f>ROUND(IF(F61=0,"",IF(F61="","",E61/(F61/100))),0)</f>
        <v>2180</v>
      </c>
      <c r="H61" s="5">
        <v>1958</v>
      </c>
      <c r="I61" s="5">
        <v>56.37</v>
      </c>
      <c r="J61" s="20">
        <v>127124</v>
      </c>
      <c r="K61" s="5">
        <f>LOG(H61)</f>
        <v>3.291812687467119</v>
      </c>
      <c r="L61" s="5">
        <f>LOG(G61)</f>
        <v>3.3384564936046046</v>
      </c>
      <c r="M61" s="5">
        <f>LOG(J61)</f>
        <v>5.1042275496382539</v>
      </c>
      <c r="N61" s="5"/>
      <c r="O61" s="5"/>
      <c r="P61" s="18">
        <f>J61*7/365 - G61</f>
        <v>257.99452054794529</v>
      </c>
    </row>
    <row r="62" spans="1:16" x14ac:dyDescent="0.4">
      <c r="A62" s="5" t="s">
        <v>154</v>
      </c>
      <c r="B62" s="5" t="s">
        <v>155</v>
      </c>
      <c r="C62" s="5">
        <v>27.295500000000001</v>
      </c>
      <c r="D62" s="5">
        <v>94.0976</v>
      </c>
      <c r="E62" s="5">
        <v>414</v>
      </c>
      <c r="F62" s="5">
        <v>100</v>
      </c>
      <c r="G62" s="10">
        <f>ROUND(IF(F62=0,"",IF(F62="","",E62/(F62/100))),0)</f>
        <v>414</v>
      </c>
      <c r="H62" s="5">
        <v>2561</v>
      </c>
      <c r="I62" s="5">
        <v>42.94</v>
      </c>
      <c r="J62" s="20">
        <v>36172</v>
      </c>
      <c r="K62" s="5">
        <f>LOG(H62)</f>
        <v>3.4084095784684298</v>
      </c>
      <c r="L62" s="5">
        <f>LOG(G62)</f>
        <v>2.6170003411208991</v>
      </c>
      <c r="M62" s="5">
        <f>LOG(J62)</f>
        <v>4.5583725221691571</v>
      </c>
      <c r="N62" s="5"/>
      <c r="O62" s="5"/>
      <c r="P62" s="18">
        <f>J62*7/365 - G62</f>
        <v>279.70958904109591</v>
      </c>
    </row>
    <row r="63" spans="1:16" x14ac:dyDescent="0.4">
      <c r="A63" s="5" t="s">
        <v>240</v>
      </c>
      <c r="B63" s="5" t="s">
        <v>241</v>
      </c>
      <c r="C63" s="5">
        <v>7.3673000000000002</v>
      </c>
      <c r="D63" s="5">
        <v>134.54419999999999</v>
      </c>
      <c r="E63" s="5">
        <v>328</v>
      </c>
      <c r="F63" s="5">
        <v>4.8</v>
      </c>
      <c r="G63" s="10">
        <f>ROUND(IF(F63=0,"",IF(F63="","",E63/(F63/100))),0)</f>
        <v>6833</v>
      </c>
      <c r="H63" s="5">
        <v>1379</v>
      </c>
      <c r="I63" s="5">
        <v>69.27</v>
      </c>
      <c r="J63" s="20">
        <v>404695</v>
      </c>
      <c r="K63" s="5">
        <f>LOG(H63)</f>
        <v>3.1395642661758498</v>
      </c>
      <c r="L63" s="5">
        <f>LOG(G63)</f>
        <v>3.8346114207226871</v>
      </c>
      <c r="M63" s="5">
        <f>LOG(J63)</f>
        <v>5.6071278387236063</v>
      </c>
      <c r="N63" s="5"/>
      <c r="O63" s="5"/>
      <c r="P63" s="18">
        <f>J63*7/365 - G63</f>
        <v>928.27397260273938</v>
      </c>
    </row>
    <row r="64" spans="1:16" x14ac:dyDescent="0.4">
      <c r="A64" s="5" t="s">
        <v>122</v>
      </c>
      <c r="B64" s="5" t="s">
        <v>123</v>
      </c>
      <c r="C64" s="5">
        <v>26.97</v>
      </c>
      <c r="D64" s="5">
        <v>93.664699999999996</v>
      </c>
      <c r="E64" s="5">
        <v>1648</v>
      </c>
      <c r="F64" s="5">
        <v>100</v>
      </c>
      <c r="G64" s="10">
        <f>ROUND(IF(F64=0,"",IF(F64="","",E64/(F64/100))),0)</f>
        <v>1648</v>
      </c>
      <c r="H64" s="5">
        <v>1890</v>
      </c>
      <c r="I64" s="5">
        <v>57.89</v>
      </c>
      <c r="J64" s="20">
        <v>147790</v>
      </c>
      <c r="K64" s="5">
        <f>LOG(H64)</f>
        <v>3.2764618041732443</v>
      </c>
      <c r="L64" s="5">
        <f>LOG(G64)</f>
        <v>3.216957207361097</v>
      </c>
      <c r="M64" s="5">
        <f>LOG(J64)</f>
        <v>5.1696450491349548</v>
      </c>
      <c r="N64" s="5"/>
      <c r="O64" s="5"/>
      <c r="P64" s="18">
        <f>J64*7/365 - G64</f>
        <v>1186.3287671232879</v>
      </c>
    </row>
    <row r="65" spans="1:16" x14ac:dyDescent="0.4">
      <c r="A65" s="5" t="s">
        <v>91</v>
      </c>
      <c r="B65" s="5" t="s">
        <v>92</v>
      </c>
      <c r="C65" s="5">
        <v>27.793600000000001</v>
      </c>
      <c r="D65" s="5">
        <v>99.677199999999999</v>
      </c>
      <c r="E65" s="5">
        <v>1048</v>
      </c>
      <c r="F65" s="5">
        <v>15.6</v>
      </c>
      <c r="G65" s="10">
        <f>ROUND(IF(F65=0,"",IF(F65="","",E65/(F65/100))),0)</f>
        <v>6718</v>
      </c>
      <c r="H65" s="5">
        <v>1348</v>
      </c>
      <c r="I65" s="5">
        <v>69.959999999999994</v>
      </c>
      <c r="J65" s="20">
        <v>428318</v>
      </c>
      <c r="K65" s="5">
        <f>LOG(H65)</f>
        <v>3.129689892199301</v>
      </c>
      <c r="L65" s="5">
        <f>LOG(G65)</f>
        <v>3.8272399995056454</v>
      </c>
      <c r="M65" s="5">
        <f>LOG(J65)</f>
        <v>5.6317663259408413</v>
      </c>
      <c r="N65" s="5"/>
      <c r="O65" s="5"/>
      <c r="P65" s="18">
        <f>J65*7/365 - G65</f>
        <v>1496.3178082191789</v>
      </c>
    </row>
    <row r="66" spans="1:16" x14ac:dyDescent="0.4">
      <c r="A66" s="5" t="s">
        <v>67</v>
      </c>
      <c r="B66" s="5" t="s">
        <v>68</v>
      </c>
      <c r="C66" s="5">
        <v>22.249600000000001</v>
      </c>
      <c r="D66" s="5">
        <v>91.813299999999998</v>
      </c>
      <c r="E66" s="5">
        <v>828</v>
      </c>
      <c r="F66" s="5">
        <v>2.7</v>
      </c>
      <c r="G66" s="10">
        <f>ROUND(IF(F66=0,"",IF(F66="","",E66/(F66/100))),0)</f>
        <v>30667</v>
      </c>
      <c r="H66" s="5">
        <v>719</v>
      </c>
      <c r="I66" s="5">
        <v>83.98</v>
      </c>
      <c r="J66" s="20">
        <v>1687523</v>
      </c>
      <c r="K66" s="5">
        <f>LOG(H66)</f>
        <v>2.8567288903828825</v>
      </c>
      <c r="L66" s="5">
        <f>LOG(G66)</f>
        <v>4.4866712931924324</v>
      </c>
      <c r="M66" s="5">
        <f>LOG(J66)</f>
        <v>6.2272497007356629</v>
      </c>
      <c r="N66" s="5"/>
      <c r="O66" s="5"/>
      <c r="P66" s="18">
        <f>J66*7/365 - G66</f>
        <v>1696.4547945205486</v>
      </c>
    </row>
    <row r="67" spans="1:16" x14ac:dyDescent="0.4">
      <c r="A67" s="5" t="s">
        <v>210</v>
      </c>
      <c r="B67" s="5" t="s">
        <v>211</v>
      </c>
      <c r="C67" s="5">
        <v>25.383600000000001</v>
      </c>
      <c r="D67" s="5">
        <v>97.351900000000001</v>
      </c>
      <c r="E67" s="5">
        <v>508</v>
      </c>
      <c r="F67" s="5">
        <v>100</v>
      </c>
      <c r="G67" s="10">
        <f>ROUND(IF(F67=0,"",IF(F67="","",E67/(F67/100))),0)</f>
        <v>508</v>
      </c>
      <c r="H67" s="5">
        <v>1967</v>
      </c>
      <c r="I67" s="5">
        <v>56.17</v>
      </c>
      <c r="J67" s="20">
        <v>125000</v>
      </c>
      <c r="K67" s="5">
        <f>LOG(H67)</f>
        <v>3.2938043599193367</v>
      </c>
      <c r="L67" s="5">
        <f>LOG(G67)</f>
        <v>2.7058637122839193</v>
      </c>
      <c r="M67" s="5">
        <f>LOG(J67)</f>
        <v>5.0969100130080562</v>
      </c>
      <c r="N67" s="5"/>
      <c r="O67" s="5"/>
      <c r="P67" s="18">
        <f>J67*7/365 - G67</f>
        <v>1889.2602739726026</v>
      </c>
    </row>
    <row r="68" spans="1:16" x14ac:dyDescent="0.4">
      <c r="A68" s="5" t="s">
        <v>212</v>
      </c>
      <c r="B68" s="5" t="s">
        <v>213</v>
      </c>
      <c r="C68" s="5">
        <v>32.1</v>
      </c>
      <c r="D68" s="5">
        <v>80.053100000000001</v>
      </c>
      <c r="E68" s="5">
        <v>1764</v>
      </c>
      <c r="F68" s="5">
        <v>100</v>
      </c>
      <c r="G68" s="10">
        <f>ROUND(IF(F68=0,"",IF(F68="","",E68/(F68/100))),0)</f>
        <v>1764</v>
      </c>
      <c r="H68" s="5">
        <v>1758</v>
      </c>
      <c r="I68" s="5">
        <v>60.83</v>
      </c>
      <c r="J68" s="20">
        <v>191746</v>
      </c>
      <c r="K68" s="5">
        <f>LOG(H68)</f>
        <v>3.245018870737753</v>
      </c>
      <c r="L68" s="5">
        <f>LOG(G68)</f>
        <v>3.2464985807958011</v>
      </c>
      <c r="M68" s="5">
        <f>LOG(J68)</f>
        <v>5.2827263129284656</v>
      </c>
      <c r="N68" s="5"/>
      <c r="O68" s="5"/>
      <c r="P68" s="18">
        <f>J68*7/365 - G68</f>
        <v>1913.3205479452054</v>
      </c>
    </row>
    <row r="69" spans="1:16" x14ac:dyDescent="0.4">
      <c r="A69" s="5" t="s">
        <v>238</v>
      </c>
      <c r="B69" s="5" t="s">
        <v>239</v>
      </c>
      <c r="C69" s="5">
        <v>29.351900000000001</v>
      </c>
      <c r="D69" s="5">
        <v>89.311400000000006</v>
      </c>
      <c r="E69" s="5">
        <v>450</v>
      </c>
      <c r="F69" s="5">
        <v>100</v>
      </c>
      <c r="G69" s="10">
        <f>ROUND(IF(F69=0,"",IF(F69="","",E69/(F69/100))),0)</f>
        <v>450</v>
      </c>
      <c r="H69" s="5">
        <v>1963</v>
      </c>
      <c r="I69" s="5">
        <v>56.26</v>
      </c>
      <c r="J69" s="20">
        <v>125883</v>
      </c>
      <c r="K69" s="5">
        <f>LOG(H69)</f>
        <v>3.2929202996000062</v>
      </c>
      <c r="L69" s="5">
        <f>LOG(G69)</f>
        <v>2.6532125137753435</v>
      </c>
      <c r="M69" s="5">
        <f>LOG(J69)</f>
        <v>5.0999670843199931</v>
      </c>
      <c r="N69" s="5"/>
      <c r="O69" s="5"/>
      <c r="P69" s="18">
        <f>J69*7/365 - G69</f>
        <v>1964.1945205479451</v>
      </c>
    </row>
    <row r="70" spans="1:16" x14ac:dyDescent="0.4">
      <c r="A70" s="5" t="s">
        <v>166</v>
      </c>
      <c r="B70" s="5" t="s">
        <v>167</v>
      </c>
      <c r="C70" s="5">
        <v>26.7315</v>
      </c>
      <c r="D70" s="5">
        <v>94.1755</v>
      </c>
      <c r="E70" s="5">
        <v>1048</v>
      </c>
      <c r="F70" s="5">
        <v>100</v>
      </c>
      <c r="G70" s="10">
        <f>ROUND(IF(F70=0,"",IF(F70="","",E70/(F70/100))),0)</f>
        <v>1048</v>
      </c>
      <c r="H70" s="5">
        <v>1827</v>
      </c>
      <c r="I70" s="5">
        <v>59.29</v>
      </c>
      <c r="J70" s="20">
        <v>168468</v>
      </c>
      <c r="K70" s="5">
        <f>LOG(H70)</f>
        <v>3.2617385473525378</v>
      </c>
      <c r="L70" s="5">
        <f>LOG(G70)</f>
        <v>3.0203612826477078</v>
      </c>
      <c r="M70" s="5">
        <f>LOG(J70)</f>
        <v>5.2265174200843623</v>
      </c>
      <c r="N70" s="5"/>
      <c r="O70" s="5"/>
      <c r="P70" s="18">
        <f>J70*7/365 - G70</f>
        <v>2182.8931506849317</v>
      </c>
    </row>
    <row r="71" spans="1:16" x14ac:dyDescent="0.4">
      <c r="A71" s="5" t="s">
        <v>250</v>
      </c>
      <c r="B71" s="5" t="s">
        <v>251</v>
      </c>
      <c r="C71" s="5">
        <v>25.703600000000002</v>
      </c>
      <c r="D71" s="5">
        <v>91.978700000000003</v>
      </c>
      <c r="E71" s="5">
        <v>704</v>
      </c>
      <c r="F71" s="5">
        <v>100</v>
      </c>
      <c r="G71" s="10">
        <f>ROUND(IF(F71=0,"",IF(F71="","",E71/(F71/100))),0)</f>
        <v>704</v>
      </c>
      <c r="H71" s="5">
        <v>1866</v>
      </c>
      <c r="I71" s="5">
        <v>58.42</v>
      </c>
      <c r="J71" s="20">
        <v>154658</v>
      </c>
      <c r="K71" s="5">
        <f>LOG(H71)</f>
        <v>3.2709116394104814</v>
      </c>
      <c r="L71" s="5">
        <f>LOG(G71)</f>
        <v>2.847572659142112</v>
      </c>
      <c r="M71" s="5">
        <f>LOG(J71)</f>
        <v>5.1893723896867217</v>
      </c>
      <c r="N71" s="5"/>
      <c r="O71" s="5"/>
      <c r="P71" s="18">
        <f>J71*7/365 - G71</f>
        <v>2262.0438356164382</v>
      </c>
    </row>
    <row r="72" spans="1:16" x14ac:dyDescent="0.4">
      <c r="A72" s="5" t="s">
        <v>276</v>
      </c>
      <c r="B72" s="5" t="s">
        <v>277</v>
      </c>
      <c r="C72" s="5">
        <v>17.988299999999999</v>
      </c>
      <c r="D72" s="5">
        <v>102.563</v>
      </c>
      <c r="E72" s="5">
        <v>943</v>
      </c>
      <c r="F72" s="5">
        <v>2.1</v>
      </c>
      <c r="G72" s="10">
        <f>ROUND(IF(F72=0,"",IF(F72="","",E72/(F72/100))),0)</f>
        <v>44905</v>
      </c>
      <c r="H72" s="5">
        <v>577</v>
      </c>
      <c r="I72" s="5">
        <v>87.14</v>
      </c>
      <c r="J72" s="20">
        <v>2477841</v>
      </c>
      <c r="K72" s="5">
        <f>LOG(H72)</f>
        <v>2.7611758131557314</v>
      </c>
      <c r="L72" s="5">
        <f>LOG(G72)</f>
        <v>4.6522947007252045</v>
      </c>
      <c r="M72" s="5">
        <f>LOG(J72)</f>
        <v>6.3940734347930341</v>
      </c>
      <c r="N72" s="5"/>
      <c r="O72" s="5"/>
      <c r="P72" s="18">
        <f>J72*7/365 - G72</f>
        <v>2615.2383561643801</v>
      </c>
    </row>
    <row r="73" spans="1:16" x14ac:dyDescent="0.4">
      <c r="A73" s="5" t="s">
        <v>232</v>
      </c>
      <c r="B73" s="5" t="s">
        <v>233</v>
      </c>
      <c r="C73" s="5">
        <v>28.200199999999999</v>
      </c>
      <c r="D73" s="5">
        <v>83.982600000000005</v>
      </c>
      <c r="E73" s="5">
        <v>360</v>
      </c>
      <c r="F73" s="5">
        <v>100</v>
      </c>
      <c r="G73" s="10">
        <f>ROUND(IF(F73=0,"",IF(F73="","",E73/(F73/100))),0)</f>
        <v>360</v>
      </c>
      <c r="H73" s="5">
        <v>1842</v>
      </c>
      <c r="I73" s="5">
        <v>58.96</v>
      </c>
      <c r="J73" s="20">
        <v>164213</v>
      </c>
      <c r="K73" s="5">
        <f>LOG(H73)</f>
        <v>3.2652896258608299</v>
      </c>
      <c r="L73" s="5">
        <f>LOG(G73)</f>
        <v>2.5563025007672873</v>
      </c>
      <c r="M73" s="5">
        <f>LOG(J73)</f>
        <v>5.2154075352729565</v>
      </c>
      <c r="N73" s="5"/>
      <c r="O73" s="5"/>
      <c r="P73" s="18">
        <f>J73*7/365 - G73</f>
        <v>2789.290410958904</v>
      </c>
    </row>
    <row r="74" spans="1:16" x14ac:dyDescent="0.4">
      <c r="A74" s="5" t="s">
        <v>244</v>
      </c>
      <c r="B74" s="5" t="s">
        <v>245</v>
      </c>
      <c r="C74" s="5">
        <v>66.564800000000005</v>
      </c>
      <c r="D74" s="5">
        <v>25.830400000000001</v>
      </c>
      <c r="E74" s="5">
        <v>330</v>
      </c>
      <c r="F74" s="5">
        <v>2.2000000000000002</v>
      </c>
      <c r="G74" s="10">
        <f>ROUND(IF(F74=0,"",IF(F74="","",E74/(F74/100))),0)</f>
        <v>15000</v>
      </c>
      <c r="H74" s="5">
        <v>969</v>
      </c>
      <c r="I74" s="5">
        <v>78.41</v>
      </c>
      <c r="J74" s="20">
        <v>948151</v>
      </c>
      <c r="K74" s="5">
        <f>LOG(H74)</f>
        <v>2.9863237770507651</v>
      </c>
      <c r="L74" s="5">
        <f>LOG(G74)</f>
        <v>4.1760912590556813</v>
      </c>
      <c r="M74" s="5">
        <f>LOG(J74)</f>
        <v>5.9768775074272691</v>
      </c>
      <c r="N74" s="5"/>
      <c r="O74" s="5"/>
      <c r="P74" s="18">
        <f>J74*7/365 - G74</f>
        <v>3183.7178082191786</v>
      </c>
    </row>
    <row r="75" spans="1:16" x14ac:dyDescent="0.4">
      <c r="A75" s="5" t="s">
        <v>278</v>
      </c>
      <c r="B75" s="5" t="s">
        <v>279</v>
      </c>
      <c r="C75" s="5">
        <v>32.836399999999998</v>
      </c>
      <c r="D75" s="5">
        <v>97.0364</v>
      </c>
      <c r="E75" s="5">
        <v>884</v>
      </c>
      <c r="F75" s="5">
        <v>21.9</v>
      </c>
      <c r="G75" s="10">
        <f>ROUND(IF(F75=0,"",IF(F75="","",E75/(F75/100))),0)</f>
        <v>4037</v>
      </c>
      <c r="H75" s="5">
        <v>1377</v>
      </c>
      <c r="I75" s="5">
        <v>69.319999999999993</v>
      </c>
      <c r="J75" s="20">
        <v>405531</v>
      </c>
      <c r="K75" s="5">
        <f>LOG(H75)</f>
        <v>3.1389339402569236</v>
      </c>
      <c r="L75" s="5">
        <f>LOG(G75)</f>
        <v>3.6060587494103142</v>
      </c>
      <c r="M75" s="5">
        <f>LOG(J75)</f>
        <v>5.6080240585825507</v>
      </c>
      <c r="N75" s="5"/>
      <c r="O75" s="5"/>
      <c r="P75" s="18">
        <f>J75*7/365 - G75</f>
        <v>3740.3068493150686</v>
      </c>
    </row>
    <row r="76" spans="1:16" x14ac:dyDescent="0.4">
      <c r="A76" s="5" t="s">
        <v>170</v>
      </c>
      <c r="B76" s="5" t="s">
        <v>171</v>
      </c>
      <c r="C76" s="5">
        <v>31.505800000000001</v>
      </c>
      <c r="D76" s="5">
        <v>65.847800000000007</v>
      </c>
      <c r="E76" s="5">
        <v>816</v>
      </c>
      <c r="F76" s="5">
        <v>2.4</v>
      </c>
      <c r="G76" s="10">
        <f>ROUND(IF(F76=0,"",IF(F76="","",E76/(F76/100))),0)</f>
        <v>34000</v>
      </c>
      <c r="H76" s="5">
        <v>648</v>
      </c>
      <c r="I76" s="5">
        <v>85.56</v>
      </c>
      <c r="J76" s="20">
        <v>1982373</v>
      </c>
      <c r="K76" s="5">
        <f>LOG(H76)</f>
        <v>2.8115750058705933</v>
      </c>
      <c r="L76" s="5">
        <f>LOG(G76)</f>
        <v>4.5314789170422554</v>
      </c>
      <c r="M76" s="5">
        <f>LOG(J76)</f>
        <v>6.2971853739639574</v>
      </c>
      <c r="N76" s="5"/>
      <c r="O76" s="5"/>
      <c r="P76" s="18">
        <f>J76*7/365 - G76</f>
        <v>4018.1123287671217</v>
      </c>
    </row>
    <row r="77" spans="1:16" x14ac:dyDescent="0.4">
      <c r="A77" s="5" t="s">
        <v>192</v>
      </c>
      <c r="B77" s="5" t="s">
        <v>193</v>
      </c>
      <c r="C77" s="5">
        <v>19.897300000000001</v>
      </c>
      <c r="D77" s="5">
        <v>102.161</v>
      </c>
      <c r="E77" s="5">
        <v>762</v>
      </c>
      <c r="F77" s="5">
        <v>5.0999999999999996</v>
      </c>
      <c r="G77" s="10">
        <f>ROUND(IF(F77=0,"",IF(F77="","",E77/(F77/100))),0)</f>
        <v>14941</v>
      </c>
      <c r="H77" s="5">
        <v>945</v>
      </c>
      <c r="I77" s="5">
        <v>78.94</v>
      </c>
      <c r="J77" s="20">
        <v>1000000</v>
      </c>
      <c r="K77" s="5">
        <f>LOG(H77)</f>
        <v>2.975431808509263</v>
      </c>
      <c r="L77" s="5">
        <f>LOG(G77)</f>
        <v>4.1743796657489867</v>
      </c>
      <c r="M77" s="5">
        <f>LOG(J77)</f>
        <v>6</v>
      </c>
      <c r="N77" s="5"/>
      <c r="O77" s="5"/>
      <c r="P77" s="18">
        <f>J77*7/365 - G77</f>
        <v>4237.0821917808207</v>
      </c>
    </row>
    <row r="78" spans="1:16" x14ac:dyDescent="0.4">
      <c r="A78" s="5" t="s">
        <v>95</v>
      </c>
      <c r="B78" s="5" t="s">
        <v>96</v>
      </c>
      <c r="C78" s="5">
        <v>25.883900000000001</v>
      </c>
      <c r="D78" s="5">
        <v>93.771100000000004</v>
      </c>
      <c r="E78" s="5">
        <v>1048</v>
      </c>
      <c r="F78" s="5">
        <v>100</v>
      </c>
      <c r="G78" s="10">
        <f>ROUND(IF(F78=0,"",IF(F78="","",E78/(F78/100))),0)</f>
        <v>1048</v>
      </c>
      <c r="H78" s="5">
        <v>1506</v>
      </c>
      <c r="I78" s="5">
        <v>66.44</v>
      </c>
      <c r="J78" s="20">
        <v>319590</v>
      </c>
      <c r="K78" s="5">
        <f>LOG(H78)</f>
        <v>3.1778249718646818</v>
      </c>
      <c r="L78" s="5">
        <f>LOG(G78)</f>
        <v>3.0203612826477078</v>
      </c>
      <c r="M78" s="5">
        <f>LOG(J78)</f>
        <v>5.5045931817409404</v>
      </c>
      <c r="N78" s="5"/>
      <c r="O78" s="5"/>
      <c r="P78" s="18">
        <f>J78*7/365 - G78</f>
        <v>5081.1232876712329</v>
      </c>
    </row>
    <row r="79" spans="1:16" x14ac:dyDescent="0.4">
      <c r="A79" s="5" t="s">
        <v>27</v>
      </c>
      <c r="B79" s="5" t="s">
        <v>28</v>
      </c>
      <c r="C79" s="5">
        <v>23.840599999999998</v>
      </c>
      <c r="D79" s="5">
        <v>92.619699999999995</v>
      </c>
      <c r="E79" s="5">
        <v>1488</v>
      </c>
      <c r="F79" s="5">
        <v>100</v>
      </c>
      <c r="G79" s="10">
        <f>ROUND(IF(F79=0,"",IF(F79="","",E79/(F79/100))),0)</f>
        <v>1488</v>
      </c>
      <c r="H79" s="5">
        <v>1388</v>
      </c>
      <c r="I79" s="5">
        <v>69.069999999999993</v>
      </c>
      <c r="J79" s="20">
        <v>398667</v>
      </c>
      <c r="K79" s="5">
        <f>LOG(H79)</f>
        <v>3.1423894661188361</v>
      </c>
      <c r="L79" s="5">
        <f>LOG(G79)</f>
        <v>3.1726029312098598</v>
      </c>
      <c r="M79" s="5">
        <f>LOG(J79)</f>
        <v>5.6006102880550541</v>
      </c>
      <c r="N79" s="9"/>
      <c r="O79" s="5"/>
      <c r="P79" s="18">
        <f>J79*7/365 - G79</f>
        <v>6157.6684931506852</v>
      </c>
    </row>
    <row r="80" spans="1:16" x14ac:dyDescent="0.4">
      <c r="A80" s="5" t="s">
        <v>53</v>
      </c>
      <c r="B80" s="5" t="s">
        <v>54</v>
      </c>
      <c r="C80" s="5">
        <v>30.553599999999999</v>
      </c>
      <c r="D80" s="5">
        <v>97.1083</v>
      </c>
      <c r="E80" s="5">
        <v>768</v>
      </c>
      <c r="F80" s="5">
        <v>27.7</v>
      </c>
      <c r="G80" s="10">
        <f>ROUND(IF(F80=0,"",IF(F80="","",E80/(F80/100))),0)</f>
        <v>2773</v>
      </c>
      <c r="H80" s="5">
        <v>1296</v>
      </c>
      <c r="I80" s="5">
        <v>71.180000000000007</v>
      </c>
      <c r="J80" s="20">
        <v>468926</v>
      </c>
      <c r="K80" s="5">
        <f>LOG(H80)</f>
        <v>3.1126050015345745</v>
      </c>
      <c r="L80" s="5">
        <f>LOG(G80)</f>
        <v>3.4429498695778618</v>
      </c>
      <c r="M80" s="5">
        <f>LOG(J80)</f>
        <v>5.6711043132325285</v>
      </c>
      <c r="N80" s="5"/>
      <c r="O80" s="5"/>
      <c r="P80" s="18">
        <f>J80*7/365 - G80</f>
        <v>6220.101369863014</v>
      </c>
    </row>
    <row r="81" spans="1:16" x14ac:dyDescent="0.4">
      <c r="A81" s="5" t="s">
        <v>114</v>
      </c>
      <c r="B81" s="5" t="s">
        <v>115</v>
      </c>
      <c r="C81" s="5">
        <v>36.400599999999997</v>
      </c>
      <c r="D81" s="5">
        <v>94.786100000000005</v>
      </c>
      <c r="E81" s="5">
        <v>604</v>
      </c>
      <c r="F81" s="5">
        <v>100</v>
      </c>
      <c r="G81" s="10">
        <f>ROUND(IF(F81=0,"",IF(F81="","",E81/(F81/100))),0)</f>
        <v>604</v>
      </c>
      <c r="H81" s="5">
        <v>1435</v>
      </c>
      <c r="I81" s="5">
        <v>68.03</v>
      </c>
      <c r="J81" s="20">
        <v>362343</v>
      </c>
      <c r="K81" s="5">
        <f>LOG(H81)</f>
        <v>3.1568519010700111</v>
      </c>
      <c r="L81" s="5">
        <f>LOG(G81)</f>
        <v>2.7810369386211318</v>
      </c>
      <c r="M81" s="5">
        <f>LOG(J81)</f>
        <v>5.5591198757253935</v>
      </c>
      <c r="N81" s="5"/>
      <c r="O81" s="5"/>
      <c r="P81" s="18">
        <f>J81*7/365 - G81</f>
        <v>6345.0438356164386</v>
      </c>
    </row>
    <row r="82" spans="1:16" x14ac:dyDescent="0.4">
      <c r="A82" s="5" t="s">
        <v>158</v>
      </c>
      <c r="B82" s="5" t="s">
        <v>159</v>
      </c>
      <c r="C82" s="5">
        <v>24.9129</v>
      </c>
      <c r="D82" s="5">
        <v>92.978700000000003</v>
      </c>
      <c r="E82" s="5">
        <v>1048</v>
      </c>
      <c r="F82" s="5">
        <v>100</v>
      </c>
      <c r="G82" s="10">
        <f>ROUND(IF(F82=0,"",IF(F82="","",E82/(F82/100))),0)</f>
        <v>1048</v>
      </c>
      <c r="H82" s="5">
        <v>1363</v>
      </c>
      <c r="I82" s="5">
        <v>69.63</v>
      </c>
      <c r="J82" s="20">
        <v>412654</v>
      </c>
      <c r="K82" s="5">
        <f>LOG(H82)</f>
        <v>3.1344958558346736</v>
      </c>
      <c r="L82" s="5">
        <f>LOG(G82)</f>
        <v>3.0203612826477078</v>
      </c>
      <c r="M82" s="5">
        <f>LOG(J82)</f>
        <v>5.6155860592345519</v>
      </c>
      <c r="N82" s="5"/>
      <c r="O82" s="5"/>
      <c r="P82" s="18">
        <f>J82*7/365 - G82</f>
        <v>6865.9123287671237</v>
      </c>
    </row>
    <row r="83" spans="1:16" x14ac:dyDescent="0.4">
      <c r="A83" s="5" t="s">
        <v>144</v>
      </c>
      <c r="B83" s="5" t="s">
        <v>145</v>
      </c>
      <c r="C83" s="5">
        <v>57.542499999999997</v>
      </c>
      <c r="D83" s="5">
        <v>-4.0475000000000003</v>
      </c>
      <c r="E83" s="5">
        <v>704</v>
      </c>
      <c r="F83" s="5">
        <v>8.3000000000000007</v>
      </c>
      <c r="G83" s="10">
        <f>ROUND(IF(F83=0,"",IF(F83="","",E83/(F83/100))),0)</f>
        <v>8482</v>
      </c>
      <c r="H83" s="5">
        <v>1046</v>
      </c>
      <c r="I83" s="5">
        <v>76.69</v>
      </c>
      <c r="J83" s="20">
        <v>802338</v>
      </c>
      <c r="K83" s="5">
        <f>LOG(H83)</f>
        <v>3.0195316845312554</v>
      </c>
      <c r="L83" s="5">
        <f>LOG(G83)</f>
        <v>3.9284982681236906</v>
      </c>
      <c r="M83" s="5">
        <f>LOG(J83)</f>
        <v>5.9043573615649496</v>
      </c>
      <c r="N83" s="5"/>
      <c r="O83" s="5"/>
      <c r="P83" s="18">
        <f>J83*7/365 - G83</f>
        <v>6905.3041095890403</v>
      </c>
    </row>
    <row r="84" spans="1:16" x14ac:dyDescent="0.4">
      <c r="A84" s="5" t="s">
        <v>140</v>
      </c>
      <c r="B84" s="5" t="s">
        <v>141</v>
      </c>
      <c r="C84" s="5">
        <v>24.76</v>
      </c>
      <c r="D84" s="5">
        <v>93.896699999999996</v>
      </c>
      <c r="E84" s="5">
        <v>1488</v>
      </c>
      <c r="F84" s="5">
        <v>8.5</v>
      </c>
      <c r="G84" s="10">
        <f>ROUND(IF(F84=0,"",IF(F84="","",E84/(F84/100))),0)</f>
        <v>17506</v>
      </c>
      <c r="H84" s="5">
        <v>833</v>
      </c>
      <c r="I84" s="5">
        <v>81.44</v>
      </c>
      <c r="J84" s="20">
        <v>1274666</v>
      </c>
      <c r="K84" s="5">
        <f>LOG(H84)</f>
        <v>2.9206450014067875</v>
      </c>
      <c r="L84" s="5">
        <f>LOG(G84)</f>
        <v>4.2431869241314715</v>
      </c>
      <c r="M84" s="5">
        <f>LOG(J84)</f>
        <v>6.1053964017428752</v>
      </c>
      <c r="N84" s="5"/>
      <c r="O84" s="5"/>
      <c r="P84" s="18">
        <f>J84*7/365 - G84</f>
        <v>6939.6493150684946</v>
      </c>
    </row>
    <row r="85" spans="1:16" x14ac:dyDescent="0.4">
      <c r="A85" s="5" t="s">
        <v>142</v>
      </c>
      <c r="B85" s="5" t="s">
        <v>143</v>
      </c>
      <c r="C85" s="5">
        <v>47.260199999999998</v>
      </c>
      <c r="D85" s="5">
        <v>11.343999999999999</v>
      </c>
      <c r="E85" s="5">
        <v>329</v>
      </c>
      <c r="F85" s="5">
        <v>2.2999999999999998</v>
      </c>
      <c r="G85" s="10">
        <f>ROUND(IF(F85=0,"",IF(F85="","",E85/(F85/100))),0)</f>
        <v>14304</v>
      </c>
      <c r="H85" s="5">
        <v>883</v>
      </c>
      <c r="I85" s="5">
        <v>80.33</v>
      </c>
      <c r="J85" s="20">
        <v>1144471</v>
      </c>
      <c r="K85" s="5">
        <f>LOG(H85)</f>
        <v>2.9459607035775686</v>
      </c>
      <c r="L85" s="5">
        <f>LOG(G85)</f>
        <v>4.1554575014518429</v>
      </c>
      <c r="M85" s="5">
        <f>LOG(J85)</f>
        <v>6.0586047924674933</v>
      </c>
      <c r="N85" s="5"/>
      <c r="O85" s="5"/>
      <c r="P85" s="18">
        <f>J85*7/365 - G85</f>
        <v>7644.7589041095889</v>
      </c>
    </row>
    <row r="86" spans="1:16" x14ac:dyDescent="0.4">
      <c r="A86" s="5" t="s">
        <v>103</v>
      </c>
      <c r="B86" s="5" t="s">
        <v>104</v>
      </c>
      <c r="C86" s="5">
        <v>55.95</v>
      </c>
      <c r="D86" s="5">
        <v>-3.3725000000000001</v>
      </c>
      <c r="E86" s="5">
        <v>1480</v>
      </c>
      <c r="F86" s="5">
        <v>0.5</v>
      </c>
      <c r="G86" s="10">
        <f>ROUND(IF(F86=0,"",IF(F86="","",E86/(F86/100))),0)</f>
        <v>296000</v>
      </c>
      <c r="H86" s="5">
        <v>159</v>
      </c>
      <c r="I86" s="5">
        <v>96.46</v>
      </c>
      <c r="J86" s="20">
        <v>15837102</v>
      </c>
      <c r="K86" s="5">
        <f>LOG(H86)</f>
        <v>2.2013971243204513</v>
      </c>
      <c r="L86" s="5">
        <f>LOG(G86)</f>
        <v>5.4712917110589387</v>
      </c>
      <c r="M86" s="5">
        <f>LOG(J86)</f>
        <v>7.1996757138346261</v>
      </c>
      <c r="N86" s="5"/>
      <c r="O86" s="5"/>
      <c r="P86" s="18">
        <f>J86*7/365 - G86</f>
        <v>7725.2438356164494</v>
      </c>
    </row>
    <row r="87" spans="1:16" x14ac:dyDescent="0.4">
      <c r="A87" s="5" t="s">
        <v>29</v>
      </c>
      <c r="B87" s="5" t="s">
        <v>30</v>
      </c>
      <c r="C87" s="5">
        <v>41.262500000000003</v>
      </c>
      <c r="D87" s="5">
        <v>80.291700000000006</v>
      </c>
      <c r="E87" s="5">
        <v>1084</v>
      </c>
      <c r="F87" s="5">
        <v>2.4</v>
      </c>
      <c r="G87" s="10">
        <f>ROUND(IF(F87=0,"",IF(F87="","",E87/(F87/100))),0)</f>
        <v>45167</v>
      </c>
      <c r="H87" s="5">
        <v>546</v>
      </c>
      <c r="I87" s="5">
        <v>87.83</v>
      </c>
      <c r="J87" s="20">
        <v>2778946</v>
      </c>
      <c r="K87" s="5">
        <f>LOG(H87)</f>
        <v>2.7371926427047373</v>
      </c>
      <c r="L87" s="5">
        <f>LOG(G87)</f>
        <v>4.6548212456042632</v>
      </c>
      <c r="M87" s="5">
        <f>LOG(J87)</f>
        <v>6.4438801077237997</v>
      </c>
      <c r="N87" s="5"/>
      <c r="O87" s="5"/>
      <c r="P87" s="18">
        <f>J87*7/365 - G87</f>
        <v>8127.8547945205501</v>
      </c>
    </row>
    <row r="88" spans="1:16" x14ac:dyDescent="0.4">
      <c r="A88" s="5" t="s">
        <v>254</v>
      </c>
      <c r="B88" s="5" t="s">
        <v>255</v>
      </c>
      <c r="C88" s="5">
        <v>39.700499999999998</v>
      </c>
      <c r="D88" s="5">
        <v>66.983800000000002</v>
      </c>
      <c r="E88" s="5">
        <v>1072</v>
      </c>
      <c r="F88" s="5">
        <v>5.9</v>
      </c>
      <c r="G88" s="10">
        <f>ROUND(IF(F88=0,"",IF(F88="","",E88/(F88/100))),0)</f>
        <v>18169</v>
      </c>
      <c r="H88" s="5">
        <v>801</v>
      </c>
      <c r="I88" s="5">
        <v>82.15</v>
      </c>
      <c r="J88" s="20">
        <v>1380000</v>
      </c>
      <c r="K88" s="5">
        <f>LOG(H88)</f>
        <v>2.9036325160842376</v>
      </c>
      <c r="L88" s="5">
        <f>LOG(G88)</f>
        <v>4.2593310249176541</v>
      </c>
      <c r="M88" s="5">
        <f>LOG(J88)</f>
        <v>6.1398790864012369</v>
      </c>
      <c r="N88" s="5"/>
      <c r="O88" s="5"/>
      <c r="P88" s="18">
        <f>J88*7/365 - G88</f>
        <v>8296.7534246575342</v>
      </c>
    </row>
    <row r="89" spans="1:16" x14ac:dyDescent="0.4">
      <c r="A89" s="5" t="s">
        <v>204</v>
      </c>
      <c r="B89" s="5" t="s">
        <v>205</v>
      </c>
      <c r="C89" s="5">
        <v>21.702200000000001</v>
      </c>
      <c r="D89" s="5">
        <v>95.977900000000005</v>
      </c>
      <c r="E89" s="5">
        <v>1519</v>
      </c>
      <c r="F89" s="5">
        <v>9.1999999999999993</v>
      </c>
      <c r="G89" s="10">
        <f>ROUND(IF(F89=0,"",IF(F89="","",E89/(F89/100))),0)</f>
        <v>16511</v>
      </c>
      <c r="H89" s="5">
        <v>793</v>
      </c>
      <c r="I89" s="5">
        <v>82.33</v>
      </c>
      <c r="J89" s="20">
        <v>1400000</v>
      </c>
      <c r="K89" s="5">
        <f>LOG(H89)</f>
        <v>2.8992731873176036</v>
      </c>
      <c r="L89" s="5">
        <f>LOG(G89)</f>
        <v>4.2177733774014952</v>
      </c>
      <c r="M89" s="5">
        <f>LOG(J89)</f>
        <v>6.1461280356782382</v>
      </c>
      <c r="N89" s="5"/>
      <c r="O89" s="5"/>
      <c r="P89" s="18">
        <f>J89*7/365 - G89</f>
        <v>10338.31506849315</v>
      </c>
    </row>
    <row r="90" spans="1:16" x14ac:dyDescent="0.4">
      <c r="A90" s="5" t="s">
        <v>55</v>
      </c>
      <c r="B90" s="5" t="s">
        <v>56</v>
      </c>
      <c r="C90" s="5">
        <v>43.061300000000003</v>
      </c>
      <c r="D90" s="5">
        <v>74.477599999999995</v>
      </c>
      <c r="E90" s="5">
        <v>1912</v>
      </c>
      <c r="F90" s="5">
        <v>3.3</v>
      </c>
      <c r="G90" s="10">
        <f>ROUND(IF(F90=0,"",IF(F90="","",E90/(F90/100))),0)</f>
        <v>57939</v>
      </c>
      <c r="H90" s="5">
        <v>452</v>
      </c>
      <c r="I90" s="5">
        <v>89.93</v>
      </c>
      <c r="J90" s="20">
        <v>3586337</v>
      </c>
      <c r="K90" s="5">
        <f>LOG(H90)</f>
        <v>2.655138434811382</v>
      </c>
      <c r="L90" s="5">
        <f>LOG(G90)</f>
        <v>4.762970995213105</v>
      </c>
      <c r="M90" s="5">
        <f>LOG(J90)</f>
        <v>6.554651096816726</v>
      </c>
      <c r="N90" s="5"/>
      <c r="O90" s="5"/>
      <c r="P90" s="18">
        <f>J90*7/365 - G90</f>
        <v>10840.065753424657</v>
      </c>
    </row>
    <row r="91" spans="1:16" x14ac:dyDescent="0.4">
      <c r="A91" s="5" t="s">
        <v>101</v>
      </c>
      <c r="B91" s="5" t="s">
        <v>102</v>
      </c>
      <c r="C91" s="5">
        <v>38.543300000000002</v>
      </c>
      <c r="D91" s="5">
        <v>68.825000000000003</v>
      </c>
      <c r="E91" s="5">
        <v>1376</v>
      </c>
      <c r="F91" s="5">
        <v>4.0999999999999996</v>
      </c>
      <c r="G91" s="10">
        <f>ROUND(IF(F91=0,"",IF(F91="","",E91/(F91/100))),0)</f>
        <v>33561</v>
      </c>
      <c r="H91" s="5">
        <v>596</v>
      </c>
      <c r="I91" s="5">
        <v>86.72</v>
      </c>
      <c r="J91" s="20">
        <v>2338000</v>
      </c>
      <c r="K91" s="5">
        <f>LOG(H91)</f>
        <v>2.7752462597402365</v>
      </c>
      <c r="L91" s="5">
        <f>LOG(G91)</f>
        <v>4.5258348928006322</v>
      </c>
      <c r="M91" s="5">
        <f>LOG(J91)</f>
        <v>6.3688445068258215</v>
      </c>
      <c r="N91" s="5"/>
      <c r="O91" s="5"/>
      <c r="P91" s="18">
        <f>J91*7/365 - G91</f>
        <v>11277.356164383564</v>
      </c>
    </row>
    <row r="92" spans="1:16" x14ac:dyDescent="0.4">
      <c r="A92" s="5" t="s">
        <v>280</v>
      </c>
      <c r="B92" s="5" t="s">
        <v>281</v>
      </c>
      <c r="C92" s="5">
        <v>24.963200000000001</v>
      </c>
      <c r="D92" s="5">
        <v>91.866799999999998</v>
      </c>
      <c r="E92" s="5">
        <v>876</v>
      </c>
      <c r="F92" s="5">
        <v>100</v>
      </c>
      <c r="G92" s="10">
        <f>ROUND(IF(F92=0,"",IF(F92="","",E92/(F92/100))),0)</f>
        <v>876</v>
      </c>
      <c r="H92" s="5">
        <v>1147</v>
      </c>
      <c r="I92" s="5">
        <v>74.44</v>
      </c>
      <c r="J92" s="20">
        <v>634031</v>
      </c>
      <c r="K92" s="5">
        <f>LOG(H92)</f>
        <v>3.0595634179012676</v>
      </c>
      <c r="L92" s="5">
        <f>LOG(G92)</f>
        <v>2.9425041061680806</v>
      </c>
      <c r="M92" s="5">
        <f>LOG(J92)</f>
        <v>5.8021104925817388</v>
      </c>
      <c r="N92" s="5"/>
      <c r="O92" s="5"/>
      <c r="P92" s="18">
        <f>J92*7/365 - G92</f>
        <v>11283.498630136986</v>
      </c>
    </row>
    <row r="93" spans="1:16" x14ac:dyDescent="0.4">
      <c r="A93" s="5" t="s">
        <v>89</v>
      </c>
      <c r="B93" s="5" t="s">
        <v>90</v>
      </c>
      <c r="C93" s="5">
        <v>27.483899999999998</v>
      </c>
      <c r="D93" s="5">
        <v>95.016900000000007</v>
      </c>
      <c r="E93" s="5">
        <v>2016</v>
      </c>
      <c r="F93" s="5">
        <v>100</v>
      </c>
      <c r="G93" s="10">
        <f>ROUND(IF(F93=0,"",IF(F93="","",E93/(F93/100))),0)</f>
        <v>2016</v>
      </c>
      <c r="H93" s="5">
        <v>1088</v>
      </c>
      <c r="I93" s="5">
        <v>75.8</v>
      </c>
      <c r="J93" s="20">
        <v>745876</v>
      </c>
      <c r="K93" s="5">
        <f>LOG(H93)</f>
        <v>3.0366288953621612</v>
      </c>
      <c r="L93" s="5">
        <f>LOG(G93)</f>
        <v>3.3044905277734875</v>
      </c>
      <c r="M93" s="5">
        <f>LOG(J93)</f>
        <v>5.8726666331135133</v>
      </c>
      <c r="N93" s="5"/>
      <c r="O93" s="5"/>
      <c r="P93" s="18">
        <f>J93*7/365 - G93</f>
        <v>12288.471232876713</v>
      </c>
    </row>
    <row r="94" spans="1:16" x14ac:dyDescent="0.4">
      <c r="A94" s="5" t="s">
        <v>224</v>
      </c>
      <c r="B94" s="5" t="s">
        <v>225</v>
      </c>
      <c r="C94" s="5">
        <v>40.609000000000002</v>
      </c>
      <c r="D94" s="5">
        <v>72.793300000000002</v>
      </c>
      <c r="E94" s="5">
        <v>816</v>
      </c>
      <c r="F94" s="5">
        <v>7.6</v>
      </c>
      <c r="G94" s="10">
        <f>ROUND(IF(F94=0,"",IF(F94="","",E94/(F94/100))),0)</f>
        <v>10737</v>
      </c>
      <c r="H94" s="5">
        <v>841</v>
      </c>
      <c r="I94" s="5">
        <v>81.260000000000005</v>
      </c>
      <c r="J94" s="20">
        <v>1253914</v>
      </c>
      <c r="K94" s="5">
        <f>LOG(H94)</f>
        <v>2.9247959957979122</v>
      </c>
      <c r="L94" s="5">
        <f>LOG(G94)</f>
        <v>4.0308829531096668</v>
      </c>
      <c r="M94" s="5">
        <f>LOG(J94)</f>
        <v>6.0982677513222727</v>
      </c>
      <c r="N94" s="5"/>
      <c r="O94" s="5"/>
      <c r="P94" s="18">
        <f>J94*7/365 - G94</f>
        <v>13310.665753424659</v>
      </c>
    </row>
    <row r="95" spans="1:16" x14ac:dyDescent="0.4">
      <c r="A95" s="5" t="s">
        <v>222</v>
      </c>
      <c r="B95" s="5" t="s">
        <v>223</v>
      </c>
      <c r="C95" s="5">
        <v>19.6235</v>
      </c>
      <c r="D95" s="5">
        <v>96.200999999999993</v>
      </c>
      <c r="E95" s="5">
        <v>753</v>
      </c>
      <c r="F95" s="5">
        <v>1.8</v>
      </c>
      <c r="G95" s="10">
        <f>ROUND(IF(F95=0,"",IF(F95="","",E95/(F95/100))),0)</f>
        <v>41833</v>
      </c>
      <c r="H95" s="5">
        <v>517</v>
      </c>
      <c r="I95" s="5">
        <v>88.48</v>
      </c>
      <c r="J95" s="20">
        <v>3000000</v>
      </c>
      <c r="K95" s="5">
        <f>LOG(H95)</f>
        <v>2.7134905430939424</v>
      </c>
      <c r="L95" s="5">
        <f>LOG(G95)</f>
        <v>4.6215190105698074</v>
      </c>
      <c r="M95" s="5">
        <f>LOG(J95)</f>
        <v>6.4771212547196626</v>
      </c>
      <c r="N95" s="5"/>
      <c r="O95" s="5"/>
      <c r="P95" s="18">
        <f>J95*7/365 - G95</f>
        <v>15701.246575342462</v>
      </c>
    </row>
    <row r="96" spans="1:16" x14ac:dyDescent="0.4">
      <c r="A96" s="5" t="s">
        <v>25</v>
      </c>
      <c r="B96" s="5" t="s">
        <v>26</v>
      </c>
      <c r="C96" s="5">
        <v>57.201900000000002</v>
      </c>
      <c r="D96" s="5">
        <v>-2.1978</v>
      </c>
      <c r="E96" s="5">
        <v>704</v>
      </c>
      <c r="F96" s="5">
        <v>2.9</v>
      </c>
      <c r="G96" s="10">
        <f>ROUND(IF(F96=0,"",IF(F96="","",E96/(F96/100))),0)</f>
        <v>24276</v>
      </c>
      <c r="H96" s="5">
        <v>607</v>
      </c>
      <c r="I96" s="5">
        <v>86.48</v>
      </c>
      <c r="J96" s="20">
        <v>2229918</v>
      </c>
      <c r="K96" s="5">
        <f>LOG(H96)</f>
        <v>2.7831886910752575</v>
      </c>
      <c r="L96" s="5">
        <f>LOG(G96)</f>
        <v>4.3851771288184294</v>
      </c>
      <c r="M96" s="5">
        <f>LOG(J96)</f>
        <v>6.3482888931816657</v>
      </c>
      <c r="N96" s="9"/>
      <c r="O96" s="5"/>
      <c r="P96" s="18">
        <f>J96*7/365 - G96</f>
        <v>18489.550684931506</v>
      </c>
    </row>
    <row r="97" spans="1:16" x14ac:dyDescent="0.4">
      <c r="A97" s="5" t="s">
        <v>81</v>
      </c>
      <c r="B97" s="5" t="s">
        <v>82</v>
      </c>
      <c r="C97" s="5">
        <v>33.411499999999997</v>
      </c>
      <c r="D97" s="5">
        <v>36.515599999999999</v>
      </c>
      <c r="E97" s="5">
        <v>0</v>
      </c>
      <c r="F97" s="5">
        <v>0</v>
      </c>
      <c r="G97" s="10">
        <v>40437</v>
      </c>
      <c r="H97" s="5">
        <v>476</v>
      </c>
      <c r="I97" s="5">
        <v>89.39</v>
      </c>
      <c r="J97" s="20">
        <v>3281988</v>
      </c>
      <c r="K97" s="5">
        <f>LOG(H97)</f>
        <v>2.6776069527204931</v>
      </c>
      <c r="L97" s="5">
        <f>LOG(G97)</f>
        <v>4.6067789280323499</v>
      </c>
      <c r="M97" s="5">
        <f>LOG(J97)</f>
        <v>6.5161369888001612</v>
      </c>
      <c r="N97" s="5"/>
      <c r="O97" s="5"/>
      <c r="P97" s="18">
        <f>J97*7/365 - G97</f>
        <v>22505.235616438353</v>
      </c>
    </row>
    <row r="98" spans="1:16" x14ac:dyDescent="0.4">
      <c r="A98" s="5" t="s">
        <v>73</v>
      </c>
      <c r="B98" s="5" t="s">
        <v>74</v>
      </c>
      <c r="C98" s="5">
        <v>18.7668</v>
      </c>
      <c r="D98" s="5">
        <v>98.962599999999995</v>
      </c>
      <c r="E98" s="5">
        <v>1358</v>
      </c>
      <c r="F98" s="5">
        <v>0.9</v>
      </c>
      <c r="G98" s="10">
        <f>ROUND(IF(F98=0,"",IF(F98="","",E98/(F98/100))),0)</f>
        <v>150889</v>
      </c>
      <c r="H98" s="5">
        <v>250</v>
      </c>
      <c r="I98" s="5">
        <v>94.43</v>
      </c>
      <c r="J98" s="20">
        <v>9082071</v>
      </c>
      <c r="K98" s="5">
        <f>LOG(H98)</f>
        <v>2.3979400086720375</v>
      </c>
      <c r="L98" s="5">
        <f>LOG(G98)</f>
        <v>5.1786575803095189</v>
      </c>
      <c r="M98" s="5">
        <f>LOG(J98)</f>
        <v>6.9581848927188439</v>
      </c>
      <c r="N98" s="5"/>
      <c r="O98" s="5"/>
      <c r="P98" s="18">
        <f>J98*7/365 - G98</f>
        <v>23287.704109589045</v>
      </c>
    </row>
    <row r="99" spans="1:16" x14ac:dyDescent="0.4">
      <c r="A99" s="5" t="s">
        <v>246</v>
      </c>
      <c r="B99" s="5" t="s">
        <v>247</v>
      </c>
      <c r="C99" s="5">
        <v>13.375299999999999</v>
      </c>
      <c r="D99" s="5">
        <v>104.2208</v>
      </c>
      <c r="E99" s="5">
        <v>816</v>
      </c>
      <c r="F99" s="5">
        <v>1.6</v>
      </c>
      <c r="G99" s="10">
        <f>ROUND(IF(F99=0,"",IF(F99="","",E99/(F99/100))),0)</f>
        <v>51000</v>
      </c>
      <c r="H99" s="5">
        <v>421</v>
      </c>
      <c r="I99" s="5">
        <v>90.62</v>
      </c>
      <c r="J99" s="20">
        <v>3926000</v>
      </c>
      <c r="K99" s="5">
        <f>LOG(H99)</f>
        <v>2.6242820958356683</v>
      </c>
      <c r="L99" s="5">
        <f>LOG(G99)</f>
        <v>4.7075701760979367</v>
      </c>
      <c r="M99" s="5">
        <f>LOG(J99)</f>
        <v>6.593950295263987</v>
      </c>
      <c r="N99" s="5"/>
      <c r="O99" s="5"/>
      <c r="P99" s="18">
        <f>J99*7/365 - G99</f>
        <v>24293.150684931505</v>
      </c>
    </row>
    <row r="100" spans="1:16" x14ac:dyDescent="0.4">
      <c r="A100" s="5" t="s">
        <v>150</v>
      </c>
      <c r="B100" s="5" t="s">
        <v>151</v>
      </c>
      <c r="C100" s="5">
        <v>23.887</v>
      </c>
      <c r="D100" s="5">
        <v>91.240399999999994</v>
      </c>
      <c r="E100" s="5">
        <v>1892</v>
      </c>
      <c r="F100" s="5">
        <v>53.1</v>
      </c>
      <c r="G100" s="10">
        <f>ROUND(IF(F100=0,"",IF(F100="","",E100/(F100/100))),0)</f>
        <v>3563</v>
      </c>
      <c r="H100" s="5">
        <v>769</v>
      </c>
      <c r="I100" s="5">
        <v>82.87</v>
      </c>
      <c r="J100" s="20">
        <v>1470670</v>
      </c>
      <c r="K100" s="5">
        <f>LOG(H100)</f>
        <v>2.885926339801431</v>
      </c>
      <c r="L100" s="5">
        <f>LOG(G100)</f>
        <v>3.5518158223510157</v>
      </c>
      <c r="M100" s="5">
        <f>LOG(J100)</f>
        <v>6.1675152333957017</v>
      </c>
      <c r="N100" s="5"/>
      <c r="O100" s="5"/>
      <c r="P100" s="18">
        <f>J100*7/365 - G100</f>
        <v>24641.630136986303</v>
      </c>
    </row>
    <row r="101" spans="1:16" x14ac:dyDescent="0.4">
      <c r="A101" s="5" t="s">
        <v>79</v>
      </c>
      <c r="B101" s="5" t="s">
        <v>80</v>
      </c>
      <c r="C101" s="5">
        <v>23.843299999999999</v>
      </c>
      <c r="D101" s="5">
        <v>90.397800000000004</v>
      </c>
      <c r="E101" s="5">
        <v>1488</v>
      </c>
      <c r="F101" s="5">
        <v>0.7</v>
      </c>
      <c r="G101" s="10">
        <f>ROUND(IF(F101=0,"",IF(F101="","",E101/(F101/100))),0)</f>
        <v>212571</v>
      </c>
      <c r="H101" s="5">
        <v>191</v>
      </c>
      <c r="I101" s="5">
        <v>95.74</v>
      </c>
      <c r="J101" s="20">
        <v>12592833</v>
      </c>
      <c r="K101" s="5">
        <f>LOG(H101)</f>
        <v>2.2810333672477277</v>
      </c>
      <c r="L101" s="5">
        <f>LOG(G101)</f>
        <v>5.3275040156010069</v>
      </c>
      <c r="M101" s="5">
        <f>LOG(J101)</f>
        <v>7.1001234439967185</v>
      </c>
      <c r="N101" s="5"/>
      <c r="O101" s="5"/>
      <c r="P101" s="18">
        <f>J101*7/365 - G101</f>
        <v>28935.386301369872</v>
      </c>
    </row>
    <row r="102" spans="1:16" x14ac:dyDescent="0.4">
      <c r="A102" s="5" t="s">
        <v>202</v>
      </c>
      <c r="B102" s="5" t="s">
        <v>203</v>
      </c>
      <c r="C102" s="5">
        <v>23.593299999999999</v>
      </c>
      <c r="D102" s="5">
        <v>58.284399999999998</v>
      </c>
      <c r="E102" s="5">
        <v>1072</v>
      </c>
      <c r="F102" s="5">
        <v>0.5</v>
      </c>
      <c r="G102" s="10">
        <f>ROUND(IF(F102=0,"",IF(F102="","",E102/(F102/100))),0)</f>
        <v>214400</v>
      </c>
      <c r="H102" s="5">
        <v>186</v>
      </c>
      <c r="I102" s="5">
        <v>95.86</v>
      </c>
      <c r="J102" s="20">
        <v>12938113</v>
      </c>
      <c r="K102" s="5">
        <f>LOG(H102)</f>
        <v>2.2695129442179165</v>
      </c>
      <c r="L102" s="5">
        <f>LOG(G102)</f>
        <v>5.3312247810207323</v>
      </c>
      <c r="M102" s="5">
        <f>LOG(J102)</f>
        <v>7.1118709398993953</v>
      </c>
      <c r="N102" s="5"/>
      <c r="O102" s="5"/>
      <c r="P102" s="18">
        <f>J102*7/365 - G102</f>
        <v>33728.194520547957</v>
      </c>
    </row>
    <row r="103" spans="1:16" x14ac:dyDescent="0.4">
      <c r="A103" s="5" t="s">
        <v>164</v>
      </c>
      <c r="B103" s="5" t="s">
        <v>165</v>
      </c>
      <c r="C103" s="5">
        <v>-26.139199999999999</v>
      </c>
      <c r="D103" s="5">
        <v>28.245999999999999</v>
      </c>
      <c r="E103" s="5">
        <v>1211</v>
      </c>
      <c r="F103" s="5">
        <v>0.4</v>
      </c>
      <c r="G103" s="10">
        <f>ROUND(IF(F103=0,"",IF(F103="","",E103/(F103/100))),0)</f>
        <v>302750</v>
      </c>
      <c r="H103" s="5">
        <v>143</v>
      </c>
      <c r="I103" s="5">
        <v>96.81</v>
      </c>
      <c r="J103" s="20">
        <v>17852569</v>
      </c>
      <c r="K103" s="5">
        <f>LOG(H103)</f>
        <v>2.1553360374650619</v>
      </c>
      <c r="L103" s="5">
        <f>LOG(G103)</f>
        <v>5.4810841518150895</v>
      </c>
      <c r="M103" s="5">
        <f>LOG(J103)</f>
        <v>7.2517007202938641</v>
      </c>
      <c r="N103" s="5"/>
      <c r="O103" s="5"/>
      <c r="P103" s="18">
        <f>J103*7/365 - G103</f>
        <v>39628.03561643837</v>
      </c>
    </row>
    <row r="104" spans="1:16" x14ac:dyDescent="0.4">
      <c r="A104" s="5" t="s">
        <v>93</v>
      </c>
      <c r="B104" s="5" t="s">
        <v>94</v>
      </c>
      <c r="C104" s="5">
        <v>25.6494</v>
      </c>
      <c r="D104" s="5">
        <v>100.319</v>
      </c>
      <c r="E104" s="5">
        <v>730</v>
      </c>
      <c r="F104" s="5">
        <v>2.8</v>
      </c>
      <c r="G104" s="10">
        <f>ROUND(IF(F104=0,"",IF(F104="","",E104/(F104/100))),0)</f>
        <v>26071</v>
      </c>
      <c r="H104" s="5">
        <v>436</v>
      </c>
      <c r="I104" s="5">
        <v>90.29</v>
      </c>
      <c r="J104" s="20">
        <v>3750473</v>
      </c>
      <c r="K104" s="5">
        <f>LOG(H104)</f>
        <v>2.6394864892685859</v>
      </c>
      <c r="L104" s="5">
        <f>LOG(G104)</f>
        <v>4.4161576896321852</v>
      </c>
      <c r="M104" s="5">
        <f>LOG(J104)</f>
        <v>6.5740860432839305</v>
      </c>
      <c r="N104" s="5"/>
      <c r="O104" s="5"/>
      <c r="P104" s="18">
        <f>J104*7/365 - G104</f>
        <v>45855.879452054796</v>
      </c>
    </row>
    <row r="105" spans="1:16" x14ac:dyDescent="0.4">
      <c r="A105" s="5" t="s">
        <v>216</v>
      </c>
      <c r="B105" s="5" t="s">
        <v>217</v>
      </c>
      <c r="C105" s="5">
        <v>51.022199999999998</v>
      </c>
      <c r="D105" s="5">
        <v>71.466899999999995</v>
      </c>
      <c r="E105" s="5">
        <v>762</v>
      </c>
      <c r="F105" s="5">
        <v>0.7</v>
      </c>
      <c r="G105" s="10">
        <f>ROUND(IF(F105=0,"",IF(F105="","",E105/(F105/100))),0)</f>
        <v>108857</v>
      </c>
      <c r="H105" s="5">
        <v>266</v>
      </c>
      <c r="I105" s="5">
        <v>94.07</v>
      </c>
      <c r="J105" s="20">
        <v>8300000</v>
      </c>
      <c r="K105" s="5">
        <f>LOG(H105)</f>
        <v>2.424881636631067</v>
      </c>
      <c r="L105" s="5">
        <f>LOG(G105)</f>
        <v>5.0368563613847046</v>
      </c>
      <c r="M105" s="5">
        <f>LOG(J105)</f>
        <v>6.9190780923760737</v>
      </c>
      <c r="N105" s="5"/>
      <c r="O105" s="5"/>
      <c r="P105" s="18">
        <f>J105*7/365 - G105</f>
        <v>50321.082191780821</v>
      </c>
    </row>
    <row r="106" spans="1:16" x14ac:dyDescent="0.4">
      <c r="A106" s="5" t="s">
        <v>33</v>
      </c>
      <c r="B106" s="5" t="s">
        <v>34</v>
      </c>
      <c r="C106" s="5">
        <v>43.3521</v>
      </c>
      <c r="D106" s="5">
        <v>77.040499999999994</v>
      </c>
      <c r="E106" s="5">
        <v>1912</v>
      </c>
      <c r="F106" s="5">
        <v>1.2</v>
      </c>
      <c r="G106" s="10">
        <f>ROUND(IF(F106=0,"",IF(F106="","",E106/(F106/100))),0)</f>
        <v>159333</v>
      </c>
      <c r="H106" s="5">
        <v>207</v>
      </c>
      <c r="I106" s="5">
        <v>95.39</v>
      </c>
      <c r="J106" s="20">
        <v>11426650</v>
      </c>
      <c r="K106" s="5">
        <f>LOG(H106)</f>
        <v>2.3159703454569178</v>
      </c>
      <c r="L106" s="5">
        <f>LOG(G106)</f>
        <v>5.2023057333256446</v>
      </c>
      <c r="M106" s="5">
        <f>LOG(J106)</f>
        <v>7.057918925079341</v>
      </c>
      <c r="N106" s="5"/>
      <c r="O106" s="5"/>
      <c r="P106" s="18">
        <f>J106*7/365 - G106</f>
        <v>59808.23287671234</v>
      </c>
    </row>
    <row r="107" spans="1:16" x14ac:dyDescent="0.4">
      <c r="A107" s="5" t="s">
        <v>136</v>
      </c>
      <c r="B107" s="5" t="s">
        <v>137</v>
      </c>
      <c r="C107" s="5">
        <v>35.4161</v>
      </c>
      <c r="D107" s="5">
        <v>51.152200000000001</v>
      </c>
      <c r="E107" s="5">
        <v>0</v>
      </c>
      <c r="F107" s="5">
        <v>0</v>
      </c>
      <c r="G107" s="10">
        <v>68855</v>
      </c>
      <c r="H107" s="5">
        <v>290</v>
      </c>
      <c r="I107" s="5">
        <v>93.54</v>
      </c>
      <c r="J107" s="20">
        <v>7271338</v>
      </c>
      <c r="K107" s="5">
        <f>LOG(H107)</f>
        <v>2.4623979978989561</v>
      </c>
      <c r="L107" s="5">
        <f>LOG(G107)</f>
        <v>4.8379354826258458</v>
      </c>
      <c r="M107" s="5">
        <f>LOG(J107)</f>
        <v>6.8616143328054813</v>
      </c>
      <c r="N107" s="5"/>
      <c r="O107" s="5"/>
      <c r="P107" s="18">
        <f>J107*7/365 - G107</f>
        <v>70595.317808219173</v>
      </c>
    </row>
    <row r="108" spans="1:16" x14ac:dyDescent="0.4">
      <c r="A108" s="5" t="s">
        <v>274</v>
      </c>
      <c r="B108" s="5" t="s">
        <v>275</v>
      </c>
      <c r="C108" s="5">
        <v>43.9071</v>
      </c>
      <c r="D108" s="5">
        <v>87.474199999999996</v>
      </c>
      <c r="E108" s="5">
        <v>1912</v>
      </c>
      <c r="F108" s="5">
        <v>0.4</v>
      </c>
      <c r="G108" s="10">
        <f>ROUND(IF(F108=0,"",IF(F108="","",E108/(F108/100))),0)</f>
        <v>478000</v>
      </c>
      <c r="H108" s="5">
        <v>90</v>
      </c>
      <c r="I108" s="5">
        <v>97.99</v>
      </c>
      <c r="J108" s="20">
        <v>29179737</v>
      </c>
      <c r="K108" s="5">
        <f>LOG(H108)</f>
        <v>1.954242509439325</v>
      </c>
      <c r="L108" s="5">
        <f>LOG(G108)</f>
        <v>5.6794278966121192</v>
      </c>
      <c r="M108" s="5">
        <f>LOG(J108)</f>
        <v>7.4650813732338044</v>
      </c>
      <c r="N108" s="5"/>
      <c r="O108" s="5"/>
      <c r="P108" s="18">
        <f>J108*7/365 - G108</f>
        <v>81611.394520547939</v>
      </c>
    </row>
    <row r="109" spans="1:16" x14ac:dyDescent="0.4">
      <c r="A109" s="5" t="s">
        <v>75</v>
      </c>
      <c r="B109" s="5" t="s">
        <v>76</v>
      </c>
      <c r="C109" s="5">
        <v>30.578499999999998</v>
      </c>
      <c r="D109" s="5">
        <v>103.947</v>
      </c>
      <c r="E109" s="5">
        <v>536</v>
      </c>
      <c r="F109" s="5">
        <v>0.1</v>
      </c>
      <c r="G109" s="10">
        <f>ROUND(IF(F109=0,"",IF(F109="","",E109/(F109/100))),0)</f>
        <v>536000</v>
      </c>
      <c r="H109" s="5">
        <v>68</v>
      </c>
      <c r="I109" s="5">
        <v>98.48</v>
      </c>
      <c r="J109" s="20">
        <v>33518945</v>
      </c>
      <c r="K109" s="5">
        <f>LOG(H109)</f>
        <v>1.8325089127062364</v>
      </c>
      <c r="L109" s="5">
        <f>LOG(G109)</f>
        <v>5.7291647896927698</v>
      </c>
      <c r="M109" s="5">
        <f>LOG(J109)</f>
        <v>7.5252903408684748</v>
      </c>
      <c r="N109" s="5"/>
      <c r="O109" s="5"/>
      <c r="P109" s="18">
        <f>J109*7/365 - G109</f>
        <v>106829.08219178079</v>
      </c>
    </row>
    <row r="110" spans="1:16" x14ac:dyDescent="0.4">
      <c r="A110" s="5" t="s">
        <v>208</v>
      </c>
      <c r="B110" s="5" t="s">
        <v>209</v>
      </c>
      <c r="C110" s="5">
        <v>14.508599999999999</v>
      </c>
      <c r="D110" s="5">
        <v>121.02</v>
      </c>
      <c r="E110" s="5">
        <v>889</v>
      </c>
      <c r="F110" s="5">
        <v>0.1</v>
      </c>
      <c r="G110" s="10">
        <f>ROUND(IF(F110=0,"",IF(F110="","",E110/(F110/100))),0)</f>
        <v>889000</v>
      </c>
      <c r="H110" s="5">
        <v>38</v>
      </c>
      <c r="I110" s="5">
        <v>99.15</v>
      </c>
      <c r="J110" s="20">
        <v>52020000</v>
      </c>
      <c r="K110" s="5">
        <f>LOG(H110)</f>
        <v>1.5797835966168101</v>
      </c>
      <c r="L110" s="5">
        <f>LOG(G110)</f>
        <v>5.9489017609702133</v>
      </c>
      <c r="M110" s="5">
        <f>LOG(J110)</f>
        <v>7.7161703478598538</v>
      </c>
      <c r="N110" s="5"/>
      <c r="O110" s="5"/>
      <c r="P110" s="18">
        <f>J110*7/365 - G110</f>
        <v>108643.8356164383</v>
      </c>
    </row>
    <row r="111" spans="1:16" x14ac:dyDescent="0.4">
      <c r="A111" s="5" t="s">
        <v>190</v>
      </c>
      <c r="B111" s="5" t="s">
        <v>191</v>
      </c>
      <c r="C111" s="5">
        <v>51.470599999999997</v>
      </c>
      <c r="D111" s="5">
        <v>-0.46189999999999998</v>
      </c>
      <c r="E111" s="5">
        <v>1499</v>
      </c>
      <c r="F111" s="5">
        <v>0.1</v>
      </c>
      <c r="G111" s="10">
        <f>ROUND(IF(F111=0,"",IF(F111="","",E111/(F111/100))),0)</f>
        <v>1499000</v>
      </c>
      <c r="H111" s="5">
        <v>7</v>
      </c>
      <c r="I111" s="5">
        <v>99.84</v>
      </c>
      <c r="J111" s="20">
        <v>84463000</v>
      </c>
      <c r="K111" s="5">
        <f>LOG(H111)</f>
        <v>0.84509804001425681</v>
      </c>
      <c r="L111" s="5">
        <f>LOG(G111)</f>
        <v>6.1758016328482794</v>
      </c>
      <c r="M111" s="5">
        <f>LOG(J111)</f>
        <v>7.9266665028562011</v>
      </c>
      <c r="N111" s="5"/>
      <c r="O111" s="5"/>
      <c r="P111" s="18">
        <f>J111*7/365 - G111</f>
        <v>120838.35616438347</v>
      </c>
    </row>
    <row r="112" spans="1:16" x14ac:dyDescent="0.4">
      <c r="A112" s="5" t="s">
        <v>218</v>
      </c>
      <c r="B112" s="5" t="s">
        <v>219</v>
      </c>
      <c r="C112" s="5">
        <v>35.764699999999998</v>
      </c>
      <c r="D112" s="5">
        <v>140.386</v>
      </c>
      <c r="E112" s="5">
        <v>1912</v>
      </c>
      <c r="F112" s="5">
        <v>0.3</v>
      </c>
      <c r="G112" s="10">
        <f>ROUND(IF(F112=0,"",IF(F112="","",E112/(F112/100))),0)</f>
        <v>637333</v>
      </c>
      <c r="H112" s="5">
        <v>60</v>
      </c>
      <c r="I112" s="5">
        <v>98.66</v>
      </c>
      <c r="J112" s="20">
        <v>39807651</v>
      </c>
      <c r="K112" s="5">
        <f>LOG(H112)</f>
        <v>1.7781512503836436</v>
      </c>
      <c r="L112" s="5">
        <f>LOG(G112)</f>
        <v>5.804366406078894</v>
      </c>
      <c r="M112" s="5">
        <f>LOG(J112)</f>
        <v>7.5999665511626828</v>
      </c>
      <c r="N112" s="5"/>
      <c r="O112" s="5"/>
      <c r="P112" s="18">
        <f>J112*7/365 - G112</f>
        <v>126101.40273972601</v>
      </c>
    </row>
    <row r="113" spans="1:16" x14ac:dyDescent="0.4">
      <c r="A113" s="5" t="s">
        <v>126</v>
      </c>
      <c r="B113" s="5" t="s">
        <v>127</v>
      </c>
      <c r="C113" s="5">
        <v>8.1132000000000009</v>
      </c>
      <c r="D113" s="5">
        <v>98.316900000000004</v>
      </c>
      <c r="E113" s="5">
        <v>813</v>
      </c>
      <c r="F113" s="5">
        <v>0.4</v>
      </c>
      <c r="G113" s="10">
        <f>ROUND(IF(F113=0,"",IF(F113="","",E113/(F113/100))),0)</f>
        <v>203250</v>
      </c>
      <c r="H113" s="5">
        <v>151</v>
      </c>
      <c r="I113" s="5">
        <v>96.64</v>
      </c>
      <c r="J113" s="20">
        <v>17215315</v>
      </c>
      <c r="K113" s="5">
        <f>LOG(H113)</f>
        <v>2.1789769472931693</v>
      </c>
      <c r="L113" s="5">
        <f>LOG(G113)</f>
        <v>5.3080305542661055</v>
      </c>
      <c r="M113" s="5">
        <f>LOG(J113)</f>
        <v>7.2359149736866524</v>
      </c>
      <c r="N113" s="5"/>
      <c r="O113" s="5"/>
      <c r="P113" s="18">
        <f>J113*7/365 - G113</f>
        <v>126906.72602739726</v>
      </c>
    </row>
    <row r="114" spans="1:16" x14ac:dyDescent="0.4">
      <c r="A114" s="5" t="s">
        <v>242</v>
      </c>
      <c r="B114" s="5" t="s">
        <v>243</v>
      </c>
      <c r="C114" s="5">
        <v>24.957599999999999</v>
      </c>
      <c r="D114" s="5">
        <v>46.698799999999999</v>
      </c>
      <c r="E114" s="5">
        <v>1070</v>
      </c>
      <c r="F114" s="5">
        <v>0.3</v>
      </c>
      <c r="G114" s="10">
        <f>ROUND(IF(F114=0,"",IF(F114="","",E114/(F114/100))),0)</f>
        <v>356667</v>
      </c>
      <c r="H114" s="5">
        <v>99</v>
      </c>
      <c r="I114" s="5">
        <v>97.79</v>
      </c>
      <c r="J114" s="20">
        <v>26500000</v>
      </c>
      <c r="K114" s="5">
        <f>LOG(H114)</f>
        <v>1.9956351945975499</v>
      </c>
      <c r="L114" s="5">
        <f>LOG(G114)</f>
        <v>5.5522629288480507</v>
      </c>
      <c r="M114" s="5">
        <f>LOG(J114)</f>
        <v>7.4232458739368079</v>
      </c>
      <c r="N114" s="5"/>
      <c r="O114" s="5"/>
      <c r="P114" s="18">
        <f>J114*7/365 - G114</f>
        <v>151552.17808219179</v>
      </c>
    </row>
    <row r="115" spans="1:16" x14ac:dyDescent="0.4">
      <c r="A115" s="5" t="s">
        <v>162</v>
      </c>
      <c r="B115" s="5" t="s">
        <v>163</v>
      </c>
      <c r="C115" s="5">
        <v>40.639800000000001</v>
      </c>
      <c r="D115" s="5">
        <v>-73.778899999999993</v>
      </c>
      <c r="E115" s="5">
        <v>972</v>
      </c>
      <c r="F115" s="5">
        <v>0.1</v>
      </c>
      <c r="G115" s="10">
        <f>ROUND(IF(F115=0,"",IF(F115="","",E115/(F115/100))),0)</f>
        <v>972000</v>
      </c>
      <c r="H115" s="5">
        <v>23</v>
      </c>
      <c r="I115" s="5">
        <v>99.49</v>
      </c>
      <c r="J115" s="20">
        <v>62629455</v>
      </c>
      <c r="K115" s="5">
        <f>LOG(H115)</f>
        <v>1.3617278360175928</v>
      </c>
      <c r="L115" s="5">
        <f>LOG(G115)</f>
        <v>5.9876662649262746</v>
      </c>
      <c r="M115" s="5">
        <f>LOG(J115)</f>
        <v>7.7967786324976922</v>
      </c>
      <c r="N115" s="5"/>
      <c r="O115" s="5"/>
      <c r="P115" s="18">
        <f>J115*7/365 - G115</f>
        <v>229112.83561643842</v>
      </c>
    </row>
    <row r="116" spans="1:16" x14ac:dyDescent="0.4">
      <c r="A116" s="5" t="s">
        <v>120</v>
      </c>
      <c r="B116" s="5" t="s">
        <v>121</v>
      </c>
      <c r="C116" s="5">
        <v>21.2212</v>
      </c>
      <c r="D116" s="5">
        <v>105.807</v>
      </c>
      <c r="E116" s="5">
        <v>1894</v>
      </c>
      <c r="F116" s="5">
        <v>0.6</v>
      </c>
      <c r="G116" s="10">
        <f>ROUND(IF(F116=0,"",IF(F116="","",E116/(F116/100))),0)</f>
        <v>315667</v>
      </c>
      <c r="H116" s="5">
        <v>87</v>
      </c>
      <c r="I116" s="5">
        <v>98.06</v>
      </c>
      <c r="J116" s="20">
        <v>29304631</v>
      </c>
      <c r="K116" s="5">
        <f>LOG(H116)</f>
        <v>1.9395192526186185</v>
      </c>
      <c r="L116" s="5">
        <f>LOG(G116)</f>
        <v>5.4992291828836661</v>
      </c>
      <c r="M116" s="5">
        <f>LOG(J116)</f>
        <v>7.4669362571739502</v>
      </c>
      <c r="N116" s="5"/>
      <c r="O116" s="5"/>
      <c r="P116" s="18">
        <f>J116*7/365 - G116</f>
        <v>246339.6219178082</v>
      </c>
    </row>
    <row r="117" spans="1:16" x14ac:dyDescent="0.4">
      <c r="A117" s="5" t="s">
        <v>258</v>
      </c>
      <c r="B117" s="5" t="s">
        <v>259</v>
      </c>
      <c r="C117" s="5">
        <v>-33.946100000000001</v>
      </c>
      <c r="D117" s="5">
        <v>151.17699999999999</v>
      </c>
      <c r="E117" s="5">
        <v>1490</v>
      </c>
      <c r="F117" s="5">
        <v>0.3</v>
      </c>
      <c r="G117" s="10">
        <f>ROUND(IF(F117=0,"",IF(F117="","",E117/(F117/100))),0)</f>
        <v>496667</v>
      </c>
      <c r="H117" s="5">
        <v>57</v>
      </c>
      <c r="I117" s="5">
        <v>98.73</v>
      </c>
      <c r="J117" s="20">
        <v>41367223</v>
      </c>
      <c r="K117" s="5">
        <f>LOG(H117)</f>
        <v>1.7558748556724915</v>
      </c>
      <c r="L117" s="5">
        <f>LOG(G117)</f>
        <v>5.6960653051653205</v>
      </c>
      <c r="M117" s="5">
        <f>LOG(J117)</f>
        <v>7.6166563674931389</v>
      </c>
      <c r="N117" s="5"/>
      <c r="O117" s="5"/>
      <c r="P117" s="18">
        <f>J117*7/365 - G117</f>
        <v>296677.00273972598</v>
      </c>
    </row>
    <row r="118" spans="1:16" x14ac:dyDescent="0.4">
      <c r="A118" s="5" t="s">
        <v>268</v>
      </c>
      <c r="B118" s="5" t="s">
        <v>269</v>
      </c>
      <c r="C118" s="5">
        <v>25.0777</v>
      </c>
      <c r="D118" s="5">
        <v>121.233</v>
      </c>
      <c r="E118" s="5">
        <v>562</v>
      </c>
      <c r="F118" s="5">
        <v>0.1</v>
      </c>
      <c r="G118" s="10">
        <f>ROUND(IF(F118=0,"",IF(F118="","",E118/(F118/100))),0)</f>
        <v>562000</v>
      </c>
      <c r="H118" s="5">
        <v>48</v>
      </c>
      <c r="I118" s="5">
        <v>98.93</v>
      </c>
      <c r="J118" s="20">
        <v>47795969</v>
      </c>
      <c r="K118" s="5">
        <f>LOG(H118)</f>
        <v>1.6812412373755872</v>
      </c>
      <c r="L118" s="5">
        <f>LOG(G118)</f>
        <v>5.7497363155690611</v>
      </c>
      <c r="M118" s="5">
        <f>LOG(J118)</f>
        <v>7.6793912707778729</v>
      </c>
      <c r="N118" s="5"/>
      <c r="O118" s="5"/>
      <c r="P118" s="18">
        <f>J118*7/365 - G118</f>
        <v>354635.02191780822</v>
      </c>
    </row>
    <row r="119" spans="1:16" x14ac:dyDescent="0.4">
      <c r="A119" s="5" t="s">
        <v>248</v>
      </c>
      <c r="B119" s="5" t="s">
        <v>249</v>
      </c>
      <c r="C119" s="5">
        <v>10.8188</v>
      </c>
      <c r="D119" s="5">
        <v>106.652</v>
      </c>
      <c r="E119" s="5">
        <v>2180</v>
      </c>
      <c r="F119" s="5">
        <v>0.8</v>
      </c>
      <c r="G119" s="10">
        <f>ROUND(IF(F119=0,"",IF(F119="","",E119/(F119/100))),0)</f>
        <v>272500</v>
      </c>
      <c r="H119" s="5">
        <v>59</v>
      </c>
      <c r="I119" s="5">
        <v>98.69</v>
      </c>
      <c r="J119" s="20">
        <v>39859384</v>
      </c>
      <c r="K119" s="5">
        <f>LOG(H119)</f>
        <v>1.7708520116421442</v>
      </c>
      <c r="L119" s="5">
        <f>LOG(G119)</f>
        <v>5.4353665066126613</v>
      </c>
      <c r="M119" s="5">
        <f>LOG(J119)</f>
        <v>7.6005305826868961</v>
      </c>
      <c r="N119" s="5"/>
      <c r="O119" s="5"/>
      <c r="P119" s="18">
        <f>J119*7/365 - G119</f>
        <v>491926.54246575339</v>
      </c>
    </row>
    <row r="120" spans="1:16" x14ac:dyDescent="0.4">
      <c r="A120" s="5" t="s">
        <v>97</v>
      </c>
      <c r="B120" s="5" t="s">
        <v>98</v>
      </c>
      <c r="C120" s="5">
        <v>25.273099999999999</v>
      </c>
      <c r="D120" s="5">
        <v>51.6081</v>
      </c>
      <c r="E120" s="5">
        <v>2046</v>
      </c>
      <c r="F120" s="5">
        <v>0.4</v>
      </c>
      <c r="G120" s="10">
        <f>ROUND(IF(F120=0,"",IF(F120="","",E120/(F120/100))),0)</f>
        <v>511500</v>
      </c>
      <c r="H120" s="5">
        <v>32</v>
      </c>
      <c r="I120" s="5">
        <v>99.29</v>
      </c>
      <c r="J120" s="20">
        <v>54300000</v>
      </c>
      <c r="K120" s="5">
        <f>LOG(H120)</f>
        <v>1.505149978319906</v>
      </c>
      <c r="L120" s="5">
        <f>LOG(G120)</f>
        <v>5.7088456380481789</v>
      </c>
      <c r="M120" s="5">
        <f>LOG(J120)</f>
        <v>7.7347998295888472</v>
      </c>
      <c r="N120" s="5"/>
      <c r="O120" s="5"/>
      <c r="P120" s="18">
        <f>J120*7/365 - G120</f>
        <v>529869.8630136986</v>
      </c>
    </row>
    <row r="121" spans="1:16" x14ac:dyDescent="0.4">
      <c r="A121" s="5" t="s">
        <v>59</v>
      </c>
      <c r="B121" s="5" t="s">
        <v>60</v>
      </c>
      <c r="C121" s="5">
        <v>23.392399999999999</v>
      </c>
      <c r="D121" s="5">
        <v>113.29900000000001</v>
      </c>
      <c r="E121" s="5">
        <v>1072</v>
      </c>
      <c r="F121" s="5">
        <v>0.1</v>
      </c>
      <c r="G121" s="10">
        <f>ROUND(IF(F121=0,"",IF(F121="","",E121/(F121/100))),0)</f>
        <v>1072000</v>
      </c>
      <c r="H121" s="5">
        <v>9</v>
      </c>
      <c r="I121" s="5">
        <v>99.8</v>
      </c>
      <c r="J121" s="20">
        <v>83582952</v>
      </c>
      <c r="K121" s="5">
        <f>LOG(H121)</f>
        <v>0.95424250943932487</v>
      </c>
      <c r="L121" s="5">
        <f>LOG(G121)</f>
        <v>6.030194785356751</v>
      </c>
      <c r="M121" s="5">
        <f>LOG(J121)</f>
        <v>7.9221177055808862</v>
      </c>
      <c r="N121" s="5"/>
      <c r="O121" s="5"/>
      <c r="P121" s="18">
        <f>J121*7/365 - G121</f>
        <v>530960.72328767134</v>
      </c>
    </row>
    <row r="122" spans="1:16" x14ac:dyDescent="0.4">
      <c r="A122" s="5" t="s">
        <v>234</v>
      </c>
      <c r="B122" s="5" t="s">
        <v>235</v>
      </c>
      <c r="C122" s="5">
        <v>31.1434</v>
      </c>
      <c r="D122" s="5">
        <v>121.80500000000001</v>
      </c>
      <c r="E122" s="5">
        <v>1084</v>
      </c>
      <c r="F122" s="5">
        <v>0.1</v>
      </c>
      <c r="G122" s="10">
        <f>ROUND(IF(F122=0,"",IF(F122="","",E122/(F122/100))),0)</f>
        <v>1084000</v>
      </c>
      <c r="H122" s="5">
        <v>5</v>
      </c>
      <c r="I122" s="5">
        <v>99.89</v>
      </c>
      <c r="J122" s="20">
        <v>84939600</v>
      </c>
      <c r="K122" s="5">
        <f>LOG(H122)</f>
        <v>0.69897000433601886</v>
      </c>
      <c r="L122" s="5">
        <f>LOG(G122)</f>
        <v>6.0350292822023679</v>
      </c>
      <c r="M122" s="5">
        <f>LOG(J122)</f>
        <v>7.9291102114674485</v>
      </c>
      <c r="N122" s="5"/>
      <c r="O122" s="5"/>
      <c r="P122" s="18">
        <f>J122*7/365 - G122</f>
        <v>544978.63013698626</v>
      </c>
    </row>
    <row r="123" spans="1:16" x14ac:dyDescent="0.4">
      <c r="A123" s="5" t="s">
        <v>65</v>
      </c>
      <c r="B123" s="5" t="s">
        <v>66</v>
      </c>
      <c r="C123" s="5">
        <v>-6.1256000000000004</v>
      </c>
      <c r="D123" s="5">
        <v>106.65600000000001</v>
      </c>
      <c r="E123" s="5">
        <v>2046</v>
      </c>
      <c r="F123" s="5">
        <v>0.4</v>
      </c>
      <c r="G123" s="10">
        <f>ROUND(IF(F123=0,"",IF(F123="","",E123/(F123/100))),0)</f>
        <v>511500</v>
      </c>
      <c r="H123" s="5">
        <v>28</v>
      </c>
      <c r="I123" s="5">
        <v>99.38</v>
      </c>
      <c r="J123" s="20">
        <v>56000000</v>
      </c>
      <c r="K123" s="5">
        <f>LOG(H123)</f>
        <v>1.4471580313422192</v>
      </c>
      <c r="L123" s="5">
        <f>LOG(G123)</f>
        <v>5.7088456380481789</v>
      </c>
      <c r="M123" s="5">
        <f>LOG(J123)</f>
        <v>7.7481880270062007</v>
      </c>
      <c r="N123" s="5"/>
      <c r="O123" s="5"/>
      <c r="P123" s="18">
        <f>J123*7/365 - G123</f>
        <v>562472.60273972596</v>
      </c>
    </row>
    <row r="124" spans="1:16" x14ac:dyDescent="0.4">
      <c r="A124" s="5" t="s">
        <v>37</v>
      </c>
      <c r="B124" s="5" t="s">
        <v>38</v>
      </c>
      <c r="C124" s="5">
        <v>33.636699999999998</v>
      </c>
      <c r="D124" s="5">
        <v>-84.428100000000001</v>
      </c>
      <c r="E124" s="5">
        <v>1475</v>
      </c>
      <c r="F124" s="5">
        <v>0.1</v>
      </c>
      <c r="G124" s="10">
        <f>ROUND(IF(F124=0,"",IF(F124="","",E124/(F124/100))),0)</f>
        <v>1475000</v>
      </c>
      <c r="H124" s="5">
        <v>1</v>
      </c>
      <c r="I124" s="5">
        <v>99.98</v>
      </c>
      <c r="J124" s="20">
        <v>106302208</v>
      </c>
      <c r="K124" s="5">
        <f>LOG(H124)</f>
        <v>0</v>
      </c>
      <c r="L124" s="5">
        <f>LOG(G124)</f>
        <v>6.1687920203141822</v>
      </c>
      <c r="M124" s="5">
        <f>LOG(J124)</f>
        <v>8.026542285334747</v>
      </c>
      <c r="N124" s="5"/>
      <c r="O124" s="5"/>
      <c r="P124" s="18">
        <f>J124*7/365 - G124</f>
        <v>563672.48219178081</v>
      </c>
    </row>
    <row r="125" spans="1:16" x14ac:dyDescent="0.4">
      <c r="A125" s="5" t="s">
        <v>184</v>
      </c>
      <c r="B125" s="5" t="s">
        <v>185</v>
      </c>
      <c r="C125" s="5">
        <v>2.7456</v>
      </c>
      <c r="D125" s="5">
        <v>101.71</v>
      </c>
      <c r="E125" s="5">
        <v>2028</v>
      </c>
      <c r="F125" s="5">
        <v>0.4</v>
      </c>
      <c r="G125" s="10">
        <f>ROUND(IF(F125=0,"",IF(F125="","",E125/(F125/100))),0)</f>
        <v>507000</v>
      </c>
      <c r="H125" s="5">
        <v>20</v>
      </c>
      <c r="I125" s="5">
        <v>99.55</v>
      </c>
      <c r="J125" s="20">
        <v>63300000</v>
      </c>
      <c r="K125" s="5">
        <f>LOG(H125)</f>
        <v>1.3010299956639813</v>
      </c>
      <c r="L125" s="5">
        <f>LOG(G125)</f>
        <v>5.7050079593333356</v>
      </c>
      <c r="M125" s="5">
        <f>LOG(J125)</f>
        <v>7.8014037100173548</v>
      </c>
      <c r="N125" s="5"/>
      <c r="O125" s="5"/>
      <c r="P125" s="18">
        <f>J125*7/365 - G125</f>
        <v>706972.60273972596</v>
      </c>
    </row>
    <row r="126" spans="1:16" x14ac:dyDescent="0.4">
      <c r="A126" s="5" t="s">
        <v>178</v>
      </c>
      <c r="B126" s="5" t="s">
        <v>179</v>
      </c>
      <c r="C126" s="5">
        <v>25.101900000000001</v>
      </c>
      <c r="D126" s="5">
        <v>102.92919999999999</v>
      </c>
      <c r="E126" s="5">
        <v>1090</v>
      </c>
      <c r="F126" s="5">
        <v>0.5</v>
      </c>
      <c r="G126" s="10">
        <f>ROUND(IF(F126=0,"",IF(F126="","",E126/(F126/100))),0)</f>
        <v>218000</v>
      </c>
      <c r="H126" s="5">
        <v>44</v>
      </c>
      <c r="I126" s="5">
        <v>99.02</v>
      </c>
      <c r="J126" s="20">
        <v>49705725</v>
      </c>
      <c r="K126" s="5">
        <f>LOG(H126)</f>
        <v>1.6434526764861874</v>
      </c>
      <c r="L126" s="5">
        <f>LOG(G126)</f>
        <v>5.3384564936046051</v>
      </c>
      <c r="M126" s="5">
        <f>LOG(J126)</f>
        <v>7.6964064127316814</v>
      </c>
      <c r="N126" s="5"/>
      <c r="O126" s="5"/>
      <c r="P126" s="18">
        <f>J126*7/365 - G126</f>
        <v>735260.47945205483</v>
      </c>
    </row>
    <row r="127" spans="1:16" x14ac:dyDescent="0.4">
      <c r="A127" s="5" t="s">
        <v>160</v>
      </c>
      <c r="B127" s="5" t="s">
        <v>161</v>
      </c>
      <c r="C127" s="5">
        <v>21.679600000000001</v>
      </c>
      <c r="D127" s="5">
        <v>39.156500000000001</v>
      </c>
      <c r="E127" s="5">
        <v>508</v>
      </c>
      <c r="F127" s="5">
        <v>0.2</v>
      </c>
      <c r="G127" s="10">
        <f>ROUND(IF(F127=0,"",IF(F127="","",E127/(F127/100))),0)</f>
        <v>254000</v>
      </c>
      <c r="H127" s="5">
        <v>36</v>
      </c>
      <c r="I127" s="5">
        <v>99.2</v>
      </c>
      <c r="J127" s="20">
        <v>53400000</v>
      </c>
      <c r="K127" s="5">
        <f>LOG(H127)</f>
        <v>1.5563025007672873</v>
      </c>
      <c r="L127" s="5">
        <f>LOG(G127)</f>
        <v>5.4048337166199385</v>
      </c>
      <c r="M127" s="5">
        <f>LOG(J127)</f>
        <v>7.7275412570285562</v>
      </c>
      <c r="N127" s="5"/>
      <c r="O127" s="5"/>
      <c r="P127" s="18">
        <f>J127*7/365 - G127</f>
        <v>770109.58904109593</v>
      </c>
    </row>
    <row r="128" spans="1:16" x14ac:dyDescent="0.4">
      <c r="A128" s="5" t="s">
        <v>134</v>
      </c>
      <c r="B128" s="5" t="s">
        <v>135</v>
      </c>
      <c r="C128" s="5">
        <v>37.469099999999997</v>
      </c>
      <c r="D128" s="5">
        <v>126.45099999999999</v>
      </c>
      <c r="E128" s="5">
        <v>1912</v>
      </c>
      <c r="F128" s="5">
        <v>0.3</v>
      </c>
      <c r="G128" s="10">
        <f>ROUND(IF(F128=0,"",IF(F128="","",E128/(F128/100))),0)</f>
        <v>637333</v>
      </c>
      <c r="H128" s="5">
        <v>12</v>
      </c>
      <c r="I128" s="5">
        <v>99.73</v>
      </c>
      <c r="J128" s="20">
        <v>74071475</v>
      </c>
      <c r="K128" s="5">
        <f>LOG(H128)</f>
        <v>1.0791812460476249</v>
      </c>
      <c r="L128" s="5">
        <f>LOG(G128)</f>
        <v>5.804366406078894</v>
      </c>
      <c r="M128" s="5">
        <f>LOG(J128)</f>
        <v>7.8696509929300165</v>
      </c>
      <c r="N128" s="5"/>
      <c r="O128" s="5"/>
      <c r="P128" s="18">
        <f>J128*7/365 - G128</f>
        <v>783215.83561643842</v>
      </c>
    </row>
    <row r="129" spans="1:16" x14ac:dyDescent="0.4">
      <c r="A129" s="5" t="s">
        <v>47</v>
      </c>
      <c r="B129" s="5" t="s">
        <v>48</v>
      </c>
      <c r="C129" s="5">
        <v>13.681100000000001</v>
      </c>
      <c r="D129" s="5">
        <v>100.747</v>
      </c>
      <c r="E129" s="5">
        <v>2460</v>
      </c>
      <c r="F129" s="5">
        <v>0.8</v>
      </c>
      <c r="G129" s="10">
        <f>ROUND(IF(F129=0,"",IF(F129="","",E129/(F129/100))),0)</f>
        <v>307500</v>
      </c>
      <c r="H129" s="17">
        <v>22</v>
      </c>
      <c r="I129" s="5">
        <v>99.51</v>
      </c>
      <c r="J129" s="20">
        <v>62902183</v>
      </c>
      <c r="K129" s="5">
        <f>LOG(H129)</f>
        <v>1.3424226808222062</v>
      </c>
      <c r="L129" s="5">
        <f>LOG(G129)</f>
        <v>5.4878451201114355</v>
      </c>
      <c r="M129" s="5">
        <f>LOG(J129)</f>
        <v>7.7986657177569167</v>
      </c>
      <c r="N129" s="5"/>
      <c r="O129" s="5"/>
      <c r="P129" s="18">
        <f>J129*7/365 - G129</f>
        <v>898843.23561643832</v>
      </c>
    </row>
    <row r="130" spans="1:16" x14ac:dyDescent="0.4">
      <c r="A130" s="5" t="s">
        <v>99</v>
      </c>
      <c r="B130" s="5" t="s">
        <v>100</v>
      </c>
      <c r="C130" s="5">
        <v>25.252800000000001</v>
      </c>
      <c r="D130" s="5">
        <v>55.364400000000003</v>
      </c>
      <c r="E130" s="5">
        <v>2055</v>
      </c>
      <c r="F130" s="5">
        <v>0.3</v>
      </c>
      <c r="G130" s="10">
        <f>ROUND(IF(F130=0,"",IF(F130="","",E130/(F130/100))),0)</f>
        <v>685000</v>
      </c>
      <c r="H130" s="5">
        <v>2</v>
      </c>
      <c r="I130" s="5">
        <v>99.96</v>
      </c>
      <c r="J130" s="20">
        <v>95200000</v>
      </c>
      <c r="K130" s="5">
        <f>LOG(H130)</f>
        <v>0.3010299956639812</v>
      </c>
      <c r="L130" s="5">
        <f>LOG(G130)</f>
        <v>5.8356905714924254</v>
      </c>
      <c r="M130" s="5">
        <f>LOG(J130)</f>
        <v>7.9786369483844739</v>
      </c>
      <c r="N130" s="5"/>
      <c r="O130" s="5"/>
      <c r="P130" s="18">
        <f>J130*7/365 - G130</f>
        <v>1140753.4246575343</v>
      </c>
    </row>
    <row r="131" spans="1:16" x14ac:dyDescent="0.4">
      <c r="A131" s="23" t="s">
        <v>282</v>
      </c>
      <c r="B131" s="17" t="str">
        <f>COUNTA(F87:F129)&amp;" / 129"</f>
        <v>43 / 129</v>
      </c>
      <c r="C131" s="17"/>
      <c r="D131" s="17"/>
      <c r="E131" s="17"/>
      <c r="F131" s="17"/>
      <c r="G131" s="17"/>
      <c r="H131" s="17"/>
      <c r="I131" s="17"/>
      <c r="J131" s="21"/>
      <c r="K131" s="17"/>
      <c r="L131" s="17"/>
      <c r="M131" s="17"/>
      <c r="N131" s="17"/>
      <c r="O131" s="17"/>
    </row>
  </sheetData>
  <autoFilter ref="A1:P131" xr:uid="{00000000-0001-0000-0100-000000000000}">
    <sortState xmlns:xlrd2="http://schemas.microsoft.com/office/spreadsheetml/2017/richdata2" ref="A2:P131">
      <sortCondition ref="P1:P131"/>
    </sortState>
  </autoFilter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zoomScale="150" zoomScaleNormal="100" workbookViewId="0">
      <pane ySplit="1" topLeftCell="A2" activePane="bottomLeft" state="frozen"/>
      <selection pane="bottomLeft" activeCell="H65" sqref="H65"/>
    </sheetView>
  </sheetViews>
  <sheetFormatPr baseColWidth="10" defaultColWidth="8.6640625" defaultRowHeight="15" x14ac:dyDescent="0.2"/>
  <cols>
    <col min="1" max="1" width="13" bestFit="1" customWidth="1"/>
    <col min="2" max="2" width="17.83203125" bestFit="1" customWidth="1"/>
    <col min="3" max="3" width="28.1640625" bestFit="1" customWidth="1"/>
    <col min="4" max="4" width="26.83203125" customWidth="1"/>
    <col min="5" max="5" width="23.6640625" customWidth="1"/>
    <col min="6" max="6" width="29.33203125" customWidth="1"/>
    <col min="7" max="7" width="25.83203125" customWidth="1"/>
    <col min="8" max="8" width="31.33203125" customWidth="1"/>
    <col min="9" max="9" width="14.33203125" bestFit="1" customWidth="1"/>
    <col min="10" max="10" width="40.83203125" bestFit="1" customWidth="1"/>
  </cols>
  <sheetData>
    <row r="1" spans="1:11" s="11" customFormat="1" ht="30" customHeight="1" x14ac:dyDescent="0.45">
      <c r="A1" s="7" t="s">
        <v>283</v>
      </c>
      <c r="B1" s="7" t="s">
        <v>284</v>
      </c>
      <c r="C1" s="7" t="s">
        <v>287</v>
      </c>
      <c r="D1" s="7" t="s">
        <v>285</v>
      </c>
      <c r="E1" s="7" t="s">
        <v>301</v>
      </c>
      <c r="F1" s="7" t="s">
        <v>302</v>
      </c>
      <c r="G1" s="7" t="s">
        <v>303</v>
      </c>
      <c r="H1" s="7" t="s">
        <v>304</v>
      </c>
      <c r="I1" s="7" t="s">
        <v>23</v>
      </c>
      <c r="J1" s="7" t="s">
        <v>24</v>
      </c>
    </row>
    <row r="2" spans="1:11" ht="24" x14ac:dyDescent="0.4">
      <c r="A2" s="5" t="s">
        <v>166</v>
      </c>
      <c r="B2" s="5" t="s">
        <v>250</v>
      </c>
      <c r="C2" s="5">
        <v>210</v>
      </c>
      <c r="D2" s="5">
        <f>IFERROR(2*3440.065*ASIN(SQRT(SIN(RADIANS(VLOOKUP($B2,'Airport Parameters'!$A:$D,3,FALSE())-VLOOKUP($A2,'Airport Parameters'!$A:$D,3,FALSE()))/2)^2+COS(RADIANS(VLOOKUP($A2,'Airport Parameters'!$A:$D,3,FALSE())))*COS(RADIANS(VLOOKUP($B2,'Airport Parameters'!$A:$D,3,FALSE())))*SIN(RADIANS(VLOOKUP($B2,'Airport Parameters'!$A:$D,4,FALSE())-VLOOKUP($A2,'Airport Parameters'!$A:$D,4,FALSE()))/2)^2)),"")</f>
        <v>133.4514316634191</v>
      </c>
      <c r="E2" s="5">
        <f>VLOOKUP(A2,'Airport Parameters'!$A:$G,7,FALSE)</f>
        <v>1048</v>
      </c>
      <c r="F2" s="5">
        <f>VLOOKUP(B2,'Airport Parameters'!$A:$G,7,FALSE)</f>
        <v>704</v>
      </c>
      <c r="G2" s="5">
        <f>VLOOKUP(A2,'Airport Parameters'!$A:$J,10,FALSE)</f>
        <v>168468</v>
      </c>
      <c r="H2" s="5">
        <f>VLOOKUP(B2,'Airport Parameters'!$A:$J,10,FALSE)</f>
        <v>154658</v>
      </c>
      <c r="I2" s="5"/>
      <c r="J2" s="5"/>
      <c r="K2" s="4"/>
    </row>
    <row r="3" spans="1:11" ht="24" x14ac:dyDescent="0.4">
      <c r="A3" s="5" t="s">
        <v>31</v>
      </c>
      <c r="B3" s="5" t="s">
        <v>204</v>
      </c>
      <c r="C3" s="5">
        <v>119</v>
      </c>
      <c r="D3" s="5">
        <f>IFERROR(2*3440.065*ASIN(SQRT(SIN(RADIANS(VLOOKUP($B3,'Airport Parameters'!$A:$D,3,FALSE())-VLOOKUP($A3,'Airport Parameters'!$A:$D,3,FALSE()))/2)^2+COS(RADIANS(VLOOKUP($A3,'Airport Parameters'!$A:$D,3,FALSE())))*COS(RADIANS(VLOOKUP($B3,'Airport Parameters'!$A:$D,3,FALSE())))*SIN(RADIANS(VLOOKUP($B3,'Airport Parameters'!$A:$D,4,FALSE())-VLOOKUP($A3,'Airport Parameters'!$A:$D,4,FALSE()))/2)^2)),"")</f>
        <v>198.00673625104369</v>
      </c>
      <c r="E3" s="5">
        <f>VLOOKUP(A3,'Airport Parameters'!$A:$G,7,FALSE)</f>
        <v>513</v>
      </c>
      <c r="F3" s="5">
        <f>VLOOKUP(B3,'Airport Parameters'!$A:$G,7,FALSE)</f>
        <v>16511</v>
      </c>
      <c r="G3" s="5">
        <f>VLOOKUP(A3,'Airport Parameters'!$A:$J,10,FALSE)</f>
        <v>14500</v>
      </c>
      <c r="H3" s="5">
        <f>VLOOKUP(B3,'Airport Parameters'!$A:$J,10,FALSE)</f>
        <v>1400000</v>
      </c>
      <c r="I3" s="5"/>
      <c r="J3" s="5"/>
      <c r="K3" s="4"/>
    </row>
    <row r="4" spans="1:11" ht="24" x14ac:dyDescent="0.4">
      <c r="A4" s="5" t="s">
        <v>130</v>
      </c>
      <c r="B4" s="5" t="s">
        <v>156</v>
      </c>
      <c r="C4" s="5">
        <v>386</v>
      </c>
      <c r="D4" s="5">
        <f>IFERROR(2*3440.065*ASIN(SQRT(SIN(RADIANS(VLOOKUP($B4,'Airport Parameters'!$A:$D,3,FALSE())-VLOOKUP($A4,'Airport Parameters'!$A:$D,3,FALSE()))/2)^2+COS(RADIANS(VLOOKUP($A4,'Airport Parameters'!$A:$D,3,FALSE())))*COS(RADIANS(VLOOKUP($B4,'Airport Parameters'!$A:$D,3,FALSE())))*SIN(RADIANS(VLOOKUP($B4,'Airport Parameters'!$A:$D,4,FALSE())-VLOOKUP($A4,'Airport Parameters'!$A:$D,4,FALSE()))/2)^2)),"")</f>
        <v>207.79296142037256</v>
      </c>
      <c r="E4" s="5">
        <f>VLOOKUP(A4,'Airport Parameters'!$A:$G,7,FALSE)</f>
        <v>74444</v>
      </c>
      <c r="F4" s="5">
        <f>VLOOKUP(B4,'Airport Parameters'!$A:$G,7,FALSE)</f>
        <v>77857</v>
      </c>
      <c r="G4" s="5">
        <f>VLOOKUP(A4,'Airport Parameters'!$A:$J,10,FALSE)</f>
        <v>1939110</v>
      </c>
      <c r="H4" s="5">
        <f>VLOOKUP(B4,'Airport Parameters'!$A:$J,10,FALSE)</f>
        <v>1074426</v>
      </c>
      <c r="I4" s="5"/>
      <c r="J4" s="5"/>
      <c r="K4" s="4"/>
    </row>
    <row r="5" spans="1:11" ht="24" x14ac:dyDescent="0.4">
      <c r="A5" s="5" t="s">
        <v>35</v>
      </c>
      <c r="B5" s="5" t="s">
        <v>220</v>
      </c>
      <c r="C5" s="5">
        <v>168</v>
      </c>
      <c r="D5" s="5">
        <f>IFERROR(2*3440.065*ASIN(SQRT(SIN(RADIANS(VLOOKUP($B5,'Airport Parameters'!$A:$D,3,FALSE())-VLOOKUP($A5,'Airport Parameters'!$A:$D,3,FALSE()))/2)^2+COS(RADIANS(VLOOKUP($A5,'Airport Parameters'!$A:$D,3,FALSE())))*COS(RADIANS(VLOOKUP($B5,'Airport Parameters'!$A:$D,3,FALSE())))*SIN(RADIANS(VLOOKUP($B5,'Airport Parameters'!$A:$D,4,FALSE())-VLOOKUP($A5,'Airport Parameters'!$A:$D,4,FALSE()))/2)^2)),"")</f>
        <v>228.68661669155708</v>
      </c>
      <c r="E5" s="5">
        <f>VLOOKUP(A5,'Airport Parameters'!$A:$G,7,FALSE)</f>
        <v>153000</v>
      </c>
      <c r="F5" s="5">
        <f>VLOOKUP(B5,'Airport Parameters'!$A:$G,7,FALSE)</f>
        <v>340</v>
      </c>
      <c r="G5" s="5">
        <f>VLOOKUP(A5,'Airport Parameters'!$A:$J,10,FALSE)</f>
        <v>7837501</v>
      </c>
      <c r="H5" s="5">
        <f>VLOOKUP(B5,'Airport Parameters'!$A:$J,10,FALSE)</f>
        <v>25000</v>
      </c>
      <c r="I5" s="5"/>
      <c r="J5" s="5"/>
      <c r="K5" s="4"/>
    </row>
    <row r="6" spans="1:11" ht="24" x14ac:dyDescent="0.4">
      <c r="A6" s="5" t="s">
        <v>77</v>
      </c>
      <c r="B6" s="5" t="s">
        <v>250</v>
      </c>
      <c r="C6" s="5">
        <v>167</v>
      </c>
      <c r="D6" s="5">
        <f>IFERROR(2*3440.065*ASIN(SQRT(SIN(RADIANS(VLOOKUP($B6,'Airport Parameters'!$A:$D,3,FALSE())-VLOOKUP($A6,'Airport Parameters'!$A:$D,3,FALSE()))/2)^2+COS(RADIANS(VLOOKUP($A6,'Airport Parameters'!$A:$D,3,FALSE())))*COS(RADIANS(VLOOKUP($B6,'Airport Parameters'!$A:$D,3,FALSE())))*SIN(RADIANS(VLOOKUP($B6,'Airport Parameters'!$A:$D,4,FALSE())-VLOOKUP($A6,'Airport Parameters'!$A:$D,4,FALSE()))/2)^2)),"")</f>
        <v>255.25731305012107</v>
      </c>
      <c r="E6" s="5">
        <f>VLOOKUP(A6,'Airport Parameters'!$A:$G,7,FALSE)</f>
        <v>2216</v>
      </c>
      <c r="F6" s="5">
        <f>VLOOKUP(B6,'Airport Parameters'!$A:$G,7,FALSE)</f>
        <v>704</v>
      </c>
      <c r="G6" s="5">
        <f>VLOOKUP(A6,'Airport Parameters'!$A:$J,10,FALSE)</f>
        <v>48719</v>
      </c>
      <c r="H6" s="5">
        <f>VLOOKUP(B6,'Airport Parameters'!$A:$J,10,FALSE)</f>
        <v>154658</v>
      </c>
      <c r="I6" s="5"/>
      <c r="J6" s="5"/>
      <c r="K6" s="4"/>
    </row>
    <row r="7" spans="1:11" ht="24" x14ac:dyDescent="0.4">
      <c r="A7" s="5" t="s">
        <v>168</v>
      </c>
      <c r="B7" s="5" t="s">
        <v>188</v>
      </c>
      <c r="C7" s="5">
        <v>420</v>
      </c>
      <c r="D7" s="5">
        <f>IFERROR(2*3440.065*ASIN(SQRT(SIN(RADIANS(VLOOKUP($B7,'Airport Parameters'!$A:$D,3,FALSE())-VLOOKUP($A7,'Airport Parameters'!$A:$D,3,FALSE()))/2)^2+COS(RADIANS(VLOOKUP($A7,'Airport Parameters'!$A:$D,3,FALSE())))*COS(RADIANS(VLOOKUP($B7,'Airport Parameters'!$A:$D,3,FALSE())))*SIN(RADIANS(VLOOKUP($B7,'Airport Parameters'!$A:$D,4,FALSE())-VLOOKUP($A7,'Airport Parameters'!$A:$D,4,FALSE()))/2)^2)),"")</f>
        <v>318.78308385622654</v>
      </c>
      <c r="E7" s="5">
        <f>VLOOKUP(A7,'Airport Parameters'!$A:$G,7,FALSE)</f>
        <v>159333</v>
      </c>
      <c r="F7" s="5">
        <f>VLOOKUP(B7,'Airport Parameters'!$A:$G,7,FALSE)</f>
        <v>173818</v>
      </c>
      <c r="G7" s="5">
        <f>VLOOKUP(A7,'Airport Parameters'!$A:$J,10,FALSE)</f>
        <v>1237662</v>
      </c>
      <c r="H7" s="5">
        <f>VLOOKUP(B7,'Airport Parameters'!$A:$J,10,FALSE)</f>
        <v>3695960</v>
      </c>
      <c r="I7" s="5"/>
      <c r="J7" s="5"/>
      <c r="K7" s="4"/>
    </row>
    <row r="8" spans="1:11" ht="24" x14ac:dyDescent="0.4">
      <c r="A8" s="5" t="s">
        <v>31</v>
      </c>
      <c r="B8" s="5" t="s">
        <v>210</v>
      </c>
      <c r="C8" s="5">
        <v>105</v>
      </c>
      <c r="D8" s="5">
        <f>IFERROR(2*3440.065*ASIN(SQRT(SIN(RADIANS(VLOOKUP($B8,'Airport Parameters'!$A:$D,3,FALSE())-VLOOKUP($A8,'Airport Parameters'!$A:$D,3,FALSE()))/2)^2+COS(RADIANS(VLOOKUP($A8,'Airport Parameters'!$A:$D,3,FALSE())))*COS(RADIANS(VLOOKUP($B8,'Airport Parameters'!$A:$D,3,FALSE())))*SIN(RADIANS(VLOOKUP($B8,'Airport Parameters'!$A:$D,4,FALSE())-VLOOKUP($A8,'Airport Parameters'!$A:$D,4,FALSE()))/2)^2)),"")</f>
        <v>401.03248263190096</v>
      </c>
      <c r="E8" s="5">
        <f>VLOOKUP(A8,'Airport Parameters'!$A:$G,7,FALSE)</f>
        <v>513</v>
      </c>
      <c r="F8" s="5">
        <f>VLOOKUP(B8,'Airport Parameters'!$A:$G,7,FALSE)</f>
        <v>508</v>
      </c>
      <c r="G8" s="5">
        <f>VLOOKUP(A8,'Airport Parameters'!$A:$J,10,FALSE)</f>
        <v>14500</v>
      </c>
      <c r="H8" s="5">
        <f>VLOOKUP(B8,'Airport Parameters'!$A:$J,10,FALSE)</f>
        <v>125000</v>
      </c>
      <c r="I8" s="5"/>
      <c r="J8" s="5"/>
      <c r="K8" s="4"/>
    </row>
    <row r="9" spans="1:11" ht="24" x14ac:dyDescent="0.4">
      <c r="A9" s="5" t="s">
        <v>192</v>
      </c>
      <c r="B9" s="5" t="s">
        <v>246</v>
      </c>
      <c r="C9" s="5">
        <v>419</v>
      </c>
      <c r="D9" s="5">
        <f>IFERROR(2*3440.065*ASIN(SQRT(SIN(RADIANS(VLOOKUP($B9,'Airport Parameters'!$A:$D,3,FALSE())-VLOOKUP($A9,'Airport Parameters'!$A:$D,3,FALSE()))/2)^2+COS(RADIANS(VLOOKUP($A9,'Airport Parameters'!$A:$D,3,FALSE())))*COS(RADIANS(VLOOKUP($B9,'Airport Parameters'!$A:$D,3,FALSE())))*SIN(RADIANS(VLOOKUP($B9,'Airport Parameters'!$A:$D,4,FALSE())-VLOOKUP($A9,'Airport Parameters'!$A:$D,4,FALSE()))/2)^2)),"")</f>
        <v>409.0960302322631</v>
      </c>
      <c r="E9" s="5">
        <f>VLOOKUP(A9,'Airport Parameters'!$A:$G,7,FALSE)</f>
        <v>14941</v>
      </c>
      <c r="F9" s="5">
        <f>VLOOKUP(B9,'Airport Parameters'!$A:$G,7,FALSE)</f>
        <v>51000</v>
      </c>
      <c r="G9" s="5">
        <f>VLOOKUP(A9,'Airport Parameters'!$A:$J,10,FALSE)</f>
        <v>1000000</v>
      </c>
      <c r="H9" s="5">
        <f>VLOOKUP(B9,'Airport Parameters'!$A:$J,10,FALSE)</f>
        <v>3926000</v>
      </c>
      <c r="I9" s="5"/>
      <c r="J9" s="5"/>
      <c r="K9" s="4"/>
    </row>
    <row r="10" spans="1:11" ht="24" x14ac:dyDescent="0.4">
      <c r="A10" s="5" t="s">
        <v>93</v>
      </c>
      <c r="B10" s="5" t="s">
        <v>276</v>
      </c>
      <c r="C10" s="5">
        <v>518</v>
      </c>
      <c r="D10" s="5">
        <f>IFERROR(2*3440.065*ASIN(SQRT(SIN(RADIANS(VLOOKUP($B10,'Airport Parameters'!$A:$D,3,FALSE())-VLOOKUP($A10,'Airport Parameters'!$A:$D,3,FALSE()))/2)^2+COS(RADIANS(VLOOKUP($A10,'Airport Parameters'!$A:$D,3,FALSE())))*COS(RADIANS(VLOOKUP($B10,'Airport Parameters'!$A:$D,3,FALSE())))*SIN(RADIANS(VLOOKUP($B10,'Airport Parameters'!$A:$D,4,FALSE())-VLOOKUP($A10,'Airport Parameters'!$A:$D,4,FALSE()))/2)^2)),"")</f>
        <v>476.64229299991291</v>
      </c>
      <c r="E10" s="5">
        <f>VLOOKUP(A10,'Airport Parameters'!$A:$G,7,FALSE)</f>
        <v>26071</v>
      </c>
      <c r="F10" s="5">
        <f>VLOOKUP(B10,'Airport Parameters'!$A:$G,7,FALSE)</f>
        <v>44905</v>
      </c>
      <c r="G10" s="5">
        <f>VLOOKUP(A10,'Airport Parameters'!$A:$J,10,FALSE)</f>
        <v>3750473</v>
      </c>
      <c r="H10" s="5">
        <f>VLOOKUP(B10,'Airport Parameters'!$A:$J,10,FALSE)</f>
        <v>2477841</v>
      </c>
      <c r="I10" s="5"/>
      <c r="J10" s="5"/>
      <c r="K10" s="4"/>
    </row>
    <row r="11" spans="1:11" ht="24" x14ac:dyDescent="0.4">
      <c r="A11" s="5" t="s">
        <v>83</v>
      </c>
      <c r="B11" s="5" t="s">
        <v>114</v>
      </c>
      <c r="C11" s="5">
        <v>238</v>
      </c>
      <c r="D11" s="5">
        <f>IFERROR(2*3440.065*ASIN(SQRT(SIN(RADIANS(VLOOKUP($B11,'Airport Parameters'!$A:$D,3,FALSE())-VLOOKUP($A11,'Airport Parameters'!$A:$D,3,FALSE()))/2)^2+COS(RADIANS(VLOOKUP($A11,'Airport Parameters'!$A:$D,3,FALSE())))*COS(RADIANS(VLOOKUP($B11,'Airport Parameters'!$A:$D,3,FALSE())))*SIN(RADIANS(VLOOKUP($B11,'Airport Parameters'!$A:$D,4,FALSE())-VLOOKUP($A11,'Airport Parameters'!$A:$D,4,FALSE()))/2)^2)),"")</f>
        <v>500.91779469067734</v>
      </c>
      <c r="E11" s="5">
        <f>VLOOKUP(A11,'Airport Parameters'!$A:$G,7,FALSE)</f>
        <v>4589</v>
      </c>
      <c r="F11" s="5">
        <f>VLOOKUP(B11,'Airport Parameters'!$A:$G,7,FALSE)</f>
        <v>604</v>
      </c>
      <c r="G11" s="5">
        <f>VLOOKUP(A11,'Airport Parameters'!$A:$J,10,FALSE)</f>
        <v>89635</v>
      </c>
      <c r="H11" s="5">
        <f>VLOOKUP(B11,'Airport Parameters'!$A:$J,10,FALSE)</f>
        <v>362343</v>
      </c>
      <c r="I11" s="5"/>
      <c r="J11" s="5"/>
      <c r="K11" s="4"/>
    </row>
    <row r="12" spans="1:11" ht="24" x14ac:dyDescent="0.4">
      <c r="A12" s="5" t="s">
        <v>204</v>
      </c>
      <c r="B12" s="5" t="s">
        <v>238</v>
      </c>
      <c r="C12" s="5">
        <v>286</v>
      </c>
      <c r="D12" s="5">
        <f>IFERROR(2*3440.065*ASIN(SQRT(SIN(RADIANS(VLOOKUP($B12,'Airport Parameters'!$A:$D,3,FALSE())-VLOOKUP($A12,'Airport Parameters'!$A:$D,3,FALSE()))/2)^2+COS(RADIANS(VLOOKUP($A12,'Airport Parameters'!$A:$D,3,FALSE())))*COS(RADIANS(VLOOKUP($B12,'Airport Parameters'!$A:$D,3,FALSE())))*SIN(RADIANS(VLOOKUP($B12,'Airport Parameters'!$A:$D,4,FALSE())-VLOOKUP($A12,'Airport Parameters'!$A:$D,4,FALSE()))/2)^2)),"")</f>
        <v>583.99552649265343</v>
      </c>
      <c r="E12" s="5">
        <f>VLOOKUP(A12,'Airport Parameters'!$A:$G,7,FALSE)</f>
        <v>16511</v>
      </c>
      <c r="F12" s="5">
        <f>VLOOKUP(B12,'Airport Parameters'!$A:$G,7,FALSE)</f>
        <v>450</v>
      </c>
      <c r="G12" s="5">
        <f>VLOOKUP(A12,'Airport Parameters'!$A:$J,10,FALSE)</f>
        <v>1400000</v>
      </c>
      <c r="H12" s="5">
        <f>VLOOKUP(B12,'Airport Parameters'!$A:$J,10,FALSE)</f>
        <v>125883</v>
      </c>
      <c r="I12" s="5"/>
      <c r="J12" s="5"/>
      <c r="K12" s="4"/>
    </row>
    <row r="13" spans="1:11" ht="24" x14ac:dyDescent="0.4">
      <c r="A13" s="5" t="s">
        <v>120</v>
      </c>
      <c r="B13" s="5" t="s">
        <v>166</v>
      </c>
      <c r="C13" s="5">
        <v>339</v>
      </c>
      <c r="D13" s="5">
        <f>IFERROR(2*3440.065*ASIN(SQRT(SIN(RADIANS(VLOOKUP($B13,'Airport Parameters'!$A:$D,3,FALSE())-VLOOKUP($A13,'Airport Parameters'!$A:$D,3,FALSE()))/2)^2+COS(RADIANS(VLOOKUP($A13,'Airport Parameters'!$A:$D,3,FALSE())))*COS(RADIANS(VLOOKUP($B13,'Airport Parameters'!$A:$D,3,FALSE())))*SIN(RADIANS(VLOOKUP($B13,'Airport Parameters'!$A:$D,4,FALSE())-VLOOKUP($A13,'Airport Parameters'!$A:$D,4,FALSE()))/2)^2)),"")</f>
        <v>718.25952911030026</v>
      </c>
      <c r="E13" s="5">
        <f>VLOOKUP(A13,'Airport Parameters'!$A:$G,7,FALSE)</f>
        <v>315667</v>
      </c>
      <c r="F13" s="5">
        <f>VLOOKUP(B13,'Airport Parameters'!$A:$G,7,FALSE)</f>
        <v>1048</v>
      </c>
      <c r="G13" s="5">
        <f>VLOOKUP(A13,'Airport Parameters'!$A:$J,10,FALSE)</f>
        <v>29304631</v>
      </c>
      <c r="H13" s="5">
        <f>VLOOKUP(B13,'Airport Parameters'!$A:$J,10,FALSE)</f>
        <v>168468</v>
      </c>
      <c r="I13" s="5"/>
      <c r="J13" s="5"/>
      <c r="K13" s="4"/>
    </row>
    <row r="14" spans="1:11" ht="24" x14ac:dyDescent="0.4">
      <c r="A14" s="5" t="s">
        <v>31</v>
      </c>
      <c r="B14" s="5" t="s">
        <v>246</v>
      </c>
      <c r="C14" s="5">
        <v>150</v>
      </c>
      <c r="D14" s="5">
        <f>IFERROR(2*3440.065*ASIN(SQRT(SIN(RADIANS(VLOOKUP($B14,'Airport Parameters'!$A:$D,3,FALSE())-VLOOKUP($A14,'Airport Parameters'!$A:$D,3,FALSE()))/2)^2+COS(RADIANS(VLOOKUP($A14,'Airport Parameters'!$A:$D,3,FALSE())))*COS(RADIANS(VLOOKUP($B14,'Airport Parameters'!$A:$D,3,FALSE())))*SIN(RADIANS(VLOOKUP($B14,'Airport Parameters'!$A:$D,4,FALSE())-VLOOKUP($A14,'Airport Parameters'!$A:$D,4,FALSE()))/2)^2)),"")</f>
        <v>767.80555731550965</v>
      </c>
      <c r="E14" s="5">
        <f>VLOOKUP(A14,'Airport Parameters'!$A:$G,7,FALSE)</f>
        <v>513</v>
      </c>
      <c r="F14" s="5">
        <f>VLOOKUP(B14,'Airport Parameters'!$A:$G,7,FALSE)</f>
        <v>51000</v>
      </c>
      <c r="G14" s="5">
        <f>VLOOKUP(A14,'Airport Parameters'!$A:$J,10,FALSE)</f>
        <v>14500</v>
      </c>
      <c r="H14" s="5">
        <f>VLOOKUP(B14,'Airport Parameters'!$A:$J,10,FALSE)</f>
        <v>3926000</v>
      </c>
      <c r="I14" s="5"/>
      <c r="J14" s="5"/>
      <c r="K14" s="4"/>
    </row>
    <row r="15" spans="1:11" ht="24" x14ac:dyDescent="0.4">
      <c r="A15" s="5" t="s">
        <v>75</v>
      </c>
      <c r="B15" s="5" t="s">
        <v>226</v>
      </c>
      <c r="C15" s="5">
        <v>348</v>
      </c>
      <c r="D15" s="5">
        <f>IFERROR(2*3440.065*ASIN(SQRT(SIN(RADIANS(VLOOKUP($B15,'Airport Parameters'!$A:$D,3,FALSE())-VLOOKUP($A15,'Airport Parameters'!$A:$D,3,FALSE()))/2)^2+COS(RADIANS(VLOOKUP($A15,'Airport Parameters'!$A:$D,3,FALSE())))*COS(RADIANS(VLOOKUP($B15,'Airport Parameters'!$A:$D,3,FALSE())))*SIN(RADIANS(VLOOKUP($B15,'Airport Parameters'!$A:$D,4,FALSE())-VLOOKUP($A15,'Airport Parameters'!$A:$D,4,FALSE()))/2)^2)),"")</f>
        <v>785.49329031913544</v>
      </c>
      <c r="E15" s="5">
        <f>VLOOKUP(A15,'Airport Parameters'!$A:$G,7,FALSE)</f>
        <v>536000</v>
      </c>
      <c r="F15" s="5">
        <f>VLOOKUP(B15,'Airport Parameters'!$A:$G,7,FALSE)</f>
        <v>77738</v>
      </c>
      <c r="G15" s="5">
        <f>VLOOKUP(A15,'Airport Parameters'!$A:$J,10,FALSE)</f>
        <v>33518945</v>
      </c>
      <c r="H15" s="5">
        <f>VLOOKUP(B15,'Airport Parameters'!$A:$J,10,FALSE)</f>
        <v>181659</v>
      </c>
      <c r="I15" s="5"/>
      <c r="J15" s="5"/>
      <c r="K15" s="4"/>
    </row>
    <row r="16" spans="1:11" ht="24" x14ac:dyDescent="0.4">
      <c r="A16" s="5" t="s">
        <v>130</v>
      </c>
      <c r="B16" s="5" t="s">
        <v>216</v>
      </c>
      <c r="C16" s="5">
        <v>533</v>
      </c>
      <c r="D16" s="5">
        <f>IFERROR(2*3440.065*ASIN(SQRT(SIN(RADIANS(VLOOKUP($B16,'Airport Parameters'!$A:$D,3,FALSE())-VLOOKUP($A16,'Airport Parameters'!$A:$D,3,FALSE()))/2)^2+COS(RADIANS(VLOOKUP($A16,'Airport Parameters'!$A:$D,3,FALSE())))*COS(RADIANS(VLOOKUP($B16,'Airport Parameters'!$A:$D,3,FALSE())))*SIN(RADIANS(VLOOKUP($B16,'Airport Parameters'!$A:$D,4,FALSE())-VLOOKUP($A16,'Airport Parameters'!$A:$D,4,FALSE()))/2)^2)),"")</f>
        <v>913.08477100935374</v>
      </c>
      <c r="E16" s="5">
        <f>VLOOKUP(A16,'Airport Parameters'!$A:$G,7,FALSE)</f>
        <v>74444</v>
      </c>
      <c r="F16" s="5">
        <f>VLOOKUP(B16,'Airport Parameters'!$A:$G,7,FALSE)</f>
        <v>108857</v>
      </c>
      <c r="G16" s="5">
        <f>VLOOKUP(A16,'Airport Parameters'!$A:$J,10,FALSE)</f>
        <v>1939110</v>
      </c>
      <c r="H16" s="5">
        <f>VLOOKUP(B16,'Airport Parameters'!$A:$J,10,FALSE)</f>
        <v>8300000</v>
      </c>
      <c r="I16" s="5"/>
      <c r="J16" s="5"/>
      <c r="K16" s="4"/>
    </row>
    <row r="17" spans="1:11" ht="24" x14ac:dyDescent="0.4">
      <c r="A17" s="5" t="s">
        <v>174</v>
      </c>
      <c r="B17" s="5" t="s">
        <v>250</v>
      </c>
      <c r="C17" s="5">
        <v>330</v>
      </c>
      <c r="D17" s="5">
        <f>IFERROR(2*3440.065*ASIN(SQRT(SIN(RADIANS(VLOOKUP($B17,'Airport Parameters'!$A:$D,3,FALSE())-VLOOKUP($A17,'Airport Parameters'!$A:$D,3,FALSE()))/2)^2+COS(RADIANS(VLOOKUP($A17,'Airport Parameters'!$A:$D,3,FALSE())))*COS(RADIANS(VLOOKUP($B17,'Airport Parameters'!$A:$D,3,FALSE())))*SIN(RADIANS(VLOOKUP($B17,'Airport Parameters'!$A:$D,4,FALSE())-VLOOKUP($A17,'Airport Parameters'!$A:$D,4,FALSE()))/2)^2)),"")</f>
        <v>1154.7113249389809</v>
      </c>
      <c r="E17" s="5">
        <f>VLOOKUP(A17,'Airport Parameters'!$A:$G,7,FALSE)</f>
        <v>127467</v>
      </c>
      <c r="F17" s="5">
        <f>VLOOKUP(B17,'Airport Parameters'!$A:$G,7,FALSE)</f>
        <v>704</v>
      </c>
      <c r="G17" s="5">
        <f>VLOOKUP(A17,'Airport Parameters'!$A:$J,10,FALSE)</f>
        <v>5233499</v>
      </c>
      <c r="H17" s="5">
        <f>VLOOKUP(B17,'Airport Parameters'!$A:$J,10,FALSE)</f>
        <v>154658</v>
      </c>
      <c r="I17" s="5"/>
      <c r="J17" s="5"/>
      <c r="K17" s="4"/>
    </row>
    <row r="18" spans="1:11" ht="24" x14ac:dyDescent="0.4">
      <c r="A18" s="5" t="s">
        <v>122</v>
      </c>
      <c r="B18" s="5" t="s">
        <v>174</v>
      </c>
      <c r="C18" s="5">
        <v>326</v>
      </c>
      <c r="D18" s="5">
        <f>IFERROR(2*3440.065*ASIN(SQRT(SIN(RADIANS(VLOOKUP($B18,'Airport Parameters'!$A:$D,3,FALSE())-VLOOKUP($A18,'Airport Parameters'!$A:$D,3,FALSE()))/2)^2+COS(RADIANS(VLOOKUP($A18,'Airport Parameters'!$A:$D,3,FALSE())))*COS(RADIANS(VLOOKUP($B18,'Airport Parameters'!$A:$D,3,FALSE())))*SIN(RADIANS(VLOOKUP($B18,'Airport Parameters'!$A:$D,4,FALSE())-VLOOKUP($A18,'Airport Parameters'!$A:$D,4,FALSE()))/2)^2)),"")</f>
        <v>1159.9733144988606</v>
      </c>
      <c r="E18" s="5">
        <f>VLOOKUP(A18,'Airport Parameters'!$A:$G,7,FALSE)</f>
        <v>1648</v>
      </c>
      <c r="F18" s="5">
        <f>VLOOKUP(B18,'Airport Parameters'!$A:$G,7,FALSE)</f>
        <v>127467</v>
      </c>
      <c r="G18" s="5">
        <f>VLOOKUP(A18,'Airport Parameters'!$A:$J,10,FALSE)</f>
        <v>147790</v>
      </c>
      <c r="H18" s="5">
        <f>VLOOKUP(B18,'Airport Parameters'!$A:$J,10,FALSE)</f>
        <v>5233499</v>
      </c>
      <c r="I18" s="5"/>
      <c r="J18" s="5"/>
      <c r="K18" s="4"/>
    </row>
    <row r="19" spans="1:11" ht="24" x14ac:dyDescent="0.4">
      <c r="A19" s="5" t="s">
        <v>87</v>
      </c>
      <c r="B19" s="5" t="s">
        <v>91</v>
      </c>
      <c r="C19" s="5">
        <v>431</v>
      </c>
      <c r="D19" s="5">
        <f>IFERROR(2*3440.065*ASIN(SQRT(SIN(RADIANS(VLOOKUP($B19,'Airport Parameters'!$A:$D,3,FALSE())-VLOOKUP($A19,'Airport Parameters'!$A:$D,3,FALSE()))/2)^2+COS(RADIANS(VLOOKUP($A19,'Airport Parameters'!$A:$D,3,FALSE())))*COS(RADIANS(VLOOKUP($B19,'Airport Parameters'!$A:$D,3,FALSE())))*SIN(RADIANS(VLOOKUP($B19,'Airport Parameters'!$A:$D,4,FALSE())-VLOOKUP($A19,'Airport Parameters'!$A:$D,4,FALSE()))/2)^2)),"")</f>
        <v>1193.847591879575</v>
      </c>
      <c r="E19" s="5">
        <f>VLOOKUP(A19,'Airport Parameters'!$A:$G,7,FALSE)</f>
        <v>1787000</v>
      </c>
      <c r="F19" s="5">
        <f>VLOOKUP(B19,'Airport Parameters'!$A:$G,7,FALSE)</f>
        <v>6718</v>
      </c>
      <c r="G19" s="5">
        <f>VLOOKUP(A19,'Airport Parameters'!$A:$J,10,FALSE)</f>
        <v>79259890</v>
      </c>
      <c r="H19" s="5">
        <f>VLOOKUP(B19,'Airport Parameters'!$A:$J,10,FALSE)</f>
        <v>428318</v>
      </c>
      <c r="I19" s="5"/>
      <c r="J19" s="5"/>
      <c r="K19" s="4"/>
    </row>
    <row r="20" spans="1:11" ht="24" x14ac:dyDescent="0.4">
      <c r="A20" s="5" t="s">
        <v>77</v>
      </c>
      <c r="B20" s="5" t="s">
        <v>146</v>
      </c>
      <c r="C20" s="5">
        <v>253</v>
      </c>
      <c r="D20" s="5">
        <f>IFERROR(2*3440.065*ASIN(SQRT(SIN(RADIANS(VLOOKUP($B20,'Airport Parameters'!$A:$D,3,FALSE())-VLOOKUP($A20,'Airport Parameters'!$A:$D,3,FALSE()))/2)^2+COS(RADIANS(VLOOKUP($A20,'Airport Parameters'!$A:$D,3,FALSE())))*COS(RADIANS(VLOOKUP($B20,'Airport Parameters'!$A:$D,3,FALSE())))*SIN(RADIANS(VLOOKUP($B20,'Airport Parameters'!$A:$D,4,FALSE())-VLOOKUP($A20,'Airport Parameters'!$A:$D,4,FALSE()))/2)^2)),"")</f>
        <v>1247.1367569385336</v>
      </c>
      <c r="E20" s="5">
        <f>VLOOKUP(A20,'Airport Parameters'!$A:$G,7,FALSE)</f>
        <v>2216</v>
      </c>
      <c r="F20" s="5">
        <f>VLOOKUP(B20,'Airport Parameters'!$A:$G,7,FALSE)</f>
        <v>214000</v>
      </c>
      <c r="G20" s="5">
        <f>VLOOKUP(A20,'Airport Parameters'!$A:$J,10,FALSE)</f>
        <v>48719</v>
      </c>
      <c r="H20" s="5">
        <f>VLOOKUP(B20,'Airport Parameters'!$A:$J,10,FALSE)</f>
        <v>6024221</v>
      </c>
      <c r="I20" s="5"/>
      <c r="J20" s="5"/>
      <c r="K20" s="4"/>
    </row>
    <row r="21" spans="1:11" ht="24" x14ac:dyDescent="0.4">
      <c r="A21" s="5" t="s">
        <v>39</v>
      </c>
      <c r="B21" s="5" t="s">
        <v>180</v>
      </c>
      <c r="C21" s="5">
        <v>590</v>
      </c>
      <c r="D21" s="5">
        <f>IFERROR(2*3440.065*ASIN(SQRT(SIN(RADIANS(VLOOKUP($B21,'Airport Parameters'!$A:$D,3,FALSE())-VLOOKUP($A21,'Airport Parameters'!$A:$D,3,FALSE()))/2)^2+COS(RADIANS(VLOOKUP($A21,'Airport Parameters'!$A:$D,3,FALSE())))*COS(RADIANS(VLOOKUP($B21,'Airport Parameters'!$A:$D,3,FALSE())))*SIN(RADIANS(VLOOKUP($B21,'Airport Parameters'!$A:$D,4,FALSE())-VLOOKUP($A21,'Airport Parameters'!$A:$D,4,FALSE()))/2)^2)),"")</f>
        <v>1223.8759759547961</v>
      </c>
      <c r="E21" s="5">
        <f>VLOOKUP(A21,'Airport Parameters'!$A:$G,7,FALSE)</f>
        <v>108857</v>
      </c>
      <c r="F21" s="5">
        <f>VLOOKUP(B21,'Airport Parameters'!$A:$G,7,FALSE)</f>
        <v>136000</v>
      </c>
      <c r="G21" s="5">
        <f>VLOOKUP(A21,'Airport Parameters'!$A:$J,10,FALSE)</f>
        <v>4600615</v>
      </c>
      <c r="H21" s="5">
        <f>VLOOKUP(B21,'Airport Parameters'!$A:$J,10,FALSE)</f>
        <v>4746000</v>
      </c>
      <c r="I21" s="5"/>
      <c r="J21" s="5"/>
      <c r="K21" s="4"/>
    </row>
    <row r="22" spans="1:11" ht="24" x14ac:dyDescent="0.4">
      <c r="A22" s="5" t="s">
        <v>224</v>
      </c>
      <c r="B22" s="5" t="s">
        <v>264</v>
      </c>
      <c r="C22" s="5">
        <v>211</v>
      </c>
      <c r="D22" s="5">
        <f>IFERROR(2*3440.065*ASIN(SQRT(SIN(RADIANS(VLOOKUP($B22,'Airport Parameters'!$A:$D,3,FALSE())-VLOOKUP($A22,'Airport Parameters'!$A:$D,3,FALSE()))/2)^2+COS(RADIANS(VLOOKUP($A22,'Airport Parameters'!$A:$D,3,FALSE())))*COS(RADIANS(VLOOKUP($B22,'Airport Parameters'!$A:$D,3,FALSE())))*SIN(RADIANS(VLOOKUP($B22,'Airport Parameters'!$A:$D,4,FALSE())-VLOOKUP($A22,'Airport Parameters'!$A:$D,4,FALSE()))/2)^2)),"")</f>
        <v>1296.1558564879749</v>
      </c>
      <c r="E22" s="5">
        <f>VLOOKUP(A22,'Airport Parameters'!$A:$G,7,FALSE)</f>
        <v>10737</v>
      </c>
      <c r="F22" s="5">
        <f>VLOOKUP(B22,'Airport Parameters'!$A:$G,7,FALSE)</f>
        <v>856</v>
      </c>
      <c r="G22" s="5">
        <f>VLOOKUP(A22,'Airport Parameters'!$A:$J,10,FALSE)</f>
        <v>1253914</v>
      </c>
      <c r="H22" s="5">
        <f>VLOOKUP(B22,'Airport Parameters'!$A:$J,10,FALSE)</f>
        <v>32273</v>
      </c>
      <c r="I22" s="5"/>
      <c r="J22" s="5"/>
      <c r="K22" s="4"/>
    </row>
    <row r="23" spans="1:11" ht="24" x14ac:dyDescent="0.4">
      <c r="A23" s="5" t="s">
        <v>222</v>
      </c>
      <c r="B23" s="5" t="s">
        <v>270</v>
      </c>
      <c r="C23" s="5">
        <v>566</v>
      </c>
      <c r="D23" s="5">
        <f>IFERROR(2*3440.065*ASIN(SQRT(SIN(RADIANS(VLOOKUP($B23,'Airport Parameters'!$A:$D,3,FALSE())-VLOOKUP($A23,'Airport Parameters'!$A:$D,3,FALSE()))/2)^2+COS(RADIANS(VLOOKUP($A23,'Airport Parameters'!$A:$D,3,FALSE())))*COS(RADIANS(VLOOKUP($B23,'Airport Parameters'!$A:$D,3,FALSE())))*SIN(RADIANS(VLOOKUP($B23,'Airport Parameters'!$A:$D,4,FALSE())-VLOOKUP($A23,'Airport Parameters'!$A:$D,4,FALSE()))/2)^2)),"")</f>
        <v>1305.0410104644554</v>
      </c>
      <c r="E23" s="5">
        <f>VLOOKUP(A23,'Airport Parameters'!$A:$G,7,FALSE)</f>
        <v>41833</v>
      </c>
      <c r="F23" s="5">
        <f>VLOOKUP(B23,'Airport Parameters'!$A:$G,7,FALSE)</f>
        <v>471500</v>
      </c>
      <c r="G23" s="5">
        <f>VLOOKUP(A23,'Airport Parameters'!$A:$J,10,FALSE)</f>
        <v>3000000</v>
      </c>
      <c r="H23" s="5">
        <f>VLOOKUP(B23,'Airport Parameters'!$A:$J,10,FALSE)</f>
        <v>4405318</v>
      </c>
      <c r="I23" s="5"/>
      <c r="J23" s="5"/>
      <c r="K23" s="4"/>
    </row>
    <row r="24" spans="1:11" ht="24" x14ac:dyDescent="0.4">
      <c r="A24" s="5" t="s">
        <v>89</v>
      </c>
      <c r="B24" s="5" t="s">
        <v>224</v>
      </c>
      <c r="C24" s="5">
        <v>433</v>
      </c>
      <c r="D24" s="5">
        <f>IFERROR(2*3440.065*ASIN(SQRT(SIN(RADIANS(VLOOKUP($B24,'Airport Parameters'!$A:$D,3,FALSE())-VLOOKUP($A24,'Airport Parameters'!$A:$D,3,FALSE()))/2)^2+COS(RADIANS(VLOOKUP($A24,'Airport Parameters'!$A:$D,3,FALSE())))*COS(RADIANS(VLOOKUP($B24,'Airport Parameters'!$A:$D,3,FALSE())))*SIN(RADIANS(VLOOKUP($B24,'Airport Parameters'!$A:$D,4,FALSE())-VLOOKUP($A24,'Airport Parameters'!$A:$D,4,FALSE()))/2)^2)),"")</f>
        <v>1351.2089079553525</v>
      </c>
      <c r="E24" s="5">
        <f>VLOOKUP(A24,'Airport Parameters'!$A:$G,7,FALSE)</f>
        <v>2016</v>
      </c>
      <c r="F24" s="5">
        <f>VLOOKUP(B24,'Airport Parameters'!$A:$G,7,FALSE)</f>
        <v>10737</v>
      </c>
      <c r="G24" s="5">
        <f>VLOOKUP(A24,'Airport Parameters'!$A:$J,10,FALSE)</f>
        <v>745876</v>
      </c>
      <c r="H24" s="5">
        <f>VLOOKUP(B24,'Airport Parameters'!$A:$J,10,FALSE)</f>
        <v>1253914</v>
      </c>
      <c r="I24" s="5"/>
      <c r="J24" s="5"/>
      <c r="K24" s="4"/>
    </row>
    <row r="25" spans="1:11" ht="24" x14ac:dyDescent="0.4">
      <c r="A25" s="5" t="s">
        <v>59</v>
      </c>
      <c r="B25" s="5" t="s">
        <v>152</v>
      </c>
      <c r="C25" s="5">
        <v>736</v>
      </c>
      <c r="D25" s="5">
        <f>IFERROR(2*3440.065*ASIN(SQRT(SIN(RADIANS(VLOOKUP($B25,'Airport Parameters'!$A:$D,3,FALSE())-VLOOKUP($A25,'Airport Parameters'!$A:$D,3,FALSE()))/2)^2+COS(RADIANS(VLOOKUP($A25,'Airport Parameters'!$A:$D,3,FALSE())))*COS(RADIANS(VLOOKUP($B25,'Airport Parameters'!$A:$D,3,FALSE())))*SIN(RADIANS(VLOOKUP($B25,'Airport Parameters'!$A:$D,4,FALSE())-VLOOKUP($A25,'Airport Parameters'!$A:$D,4,FALSE()))/2)^2)),"")</f>
        <v>1370.3960732056826</v>
      </c>
      <c r="E25" s="5">
        <f>VLOOKUP(A25,'Airport Parameters'!$A:$G,7,FALSE)</f>
        <v>1072000</v>
      </c>
      <c r="F25" s="5">
        <f>VLOOKUP(B25,'Airport Parameters'!$A:$G,7,FALSE)</f>
        <v>171000</v>
      </c>
      <c r="G25" s="5">
        <f>VLOOKUP(A25,'Airport Parameters'!$A:$J,10,FALSE)</f>
        <v>83582952</v>
      </c>
      <c r="H25" s="5">
        <f>VLOOKUP(B25,'Airport Parameters'!$A:$J,10,FALSE)</f>
        <v>3118368</v>
      </c>
      <c r="I25" s="5"/>
      <c r="J25" s="5"/>
      <c r="K25" s="4"/>
    </row>
    <row r="26" spans="1:11" ht="24" x14ac:dyDescent="0.4">
      <c r="A26" s="5" t="s">
        <v>71</v>
      </c>
      <c r="B26" s="5" t="s">
        <v>85</v>
      </c>
      <c r="C26" s="5">
        <v>532</v>
      </c>
      <c r="D26" s="5">
        <f>IFERROR(2*3440.065*ASIN(SQRT(SIN(RADIANS(VLOOKUP($B26,'Airport Parameters'!$A:$D,3,FALSE())-VLOOKUP($A26,'Airport Parameters'!$A:$D,3,FALSE()))/2)^2+COS(RADIANS(VLOOKUP($A26,'Airport Parameters'!$A:$D,3,FALSE())))*COS(RADIANS(VLOOKUP($B26,'Airport Parameters'!$A:$D,3,FALSE())))*SIN(RADIANS(VLOOKUP($B26,'Airport Parameters'!$A:$D,4,FALSE())-VLOOKUP($A26,'Airport Parameters'!$A:$D,4,FALSE()))/2)^2)),"")</f>
        <v>1384.7980093796696</v>
      </c>
      <c r="E26" s="5">
        <f>VLOOKUP(A26,'Airport Parameters'!$A:$G,7,FALSE)</f>
        <v>956000</v>
      </c>
      <c r="F26" s="5">
        <f>VLOOKUP(B26,'Airport Parameters'!$A:$G,7,FALSE)</f>
        <v>72762</v>
      </c>
      <c r="G26" s="5">
        <f>VLOOKUP(A26,'Airport Parameters'!$A:$J,10,FALSE)</f>
        <v>8804019</v>
      </c>
      <c r="H26" s="5">
        <f>VLOOKUP(B26,'Airport Parameters'!$A:$J,10,FALSE)</f>
        <v>1598297</v>
      </c>
      <c r="I26" s="5"/>
      <c r="J26" s="5"/>
      <c r="K26" s="4"/>
    </row>
    <row r="27" spans="1:11" ht="24" x14ac:dyDescent="0.4">
      <c r="A27" s="5" t="s">
        <v>101</v>
      </c>
      <c r="B27" s="5" t="s">
        <v>242</v>
      </c>
      <c r="C27" s="5">
        <v>569</v>
      </c>
      <c r="D27" s="5">
        <f>IFERROR(2*3440.065*ASIN(SQRT(SIN(RADIANS(VLOOKUP($B27,'Airport Parameters'!$A:$D,3,FALSE())-VLOOKUP($A27,'Airport Parameters'!$A:$D,3,FALSE()))/2)^2+COS(RADIANS(VLOOKUP($A27,'Airport Parameters'!$A:$D,3,FALSE())))*COS(RADIANS(VLOOKUP($B27,'Airport Parameters'!$A:$D,3,FALSE())))*SIN(RADIANS(VLOOKUP($B27,'Airport Parameters'!$A:$D,4,FALSE())-VLOOKUP($A27,'Airport Parameters'!$A:$D,4,FALSE()))/2)^2)),"")</f>
        <v>1387.1325650892268</v>
      </c>
      <c r="E27" s="5">
        <f>VLOOKUP(A27,'Airport Parameters'!$A:$G,7,FALSE)</f>
        <v>33561</v>
      </c>
      <c r="F27" s="5">
        <f>VLOOKUP(B27,'Airport Parameters'!$A:$G,7,FALSE)</f>
        <v>356667</v>
      </c>
      <c r="G27" s="5">
        <f>VLOOKUP(A27,'Airport Parameters'!$A:$J,10,FALSE)</f>
        <v>2338000</v>
      </c>
      <c r="H27" s="5">
        <f>VLOOKUP(B27,'Airport Parameters'!$A:$J,10,FALSE)</f>
        <v>26500000</v>
      </c>
      <c r="I27" s="5"/>
      <c r="J27" s="5"/>
      <c r="K27" s="4"/>
    </row>
    <row r="28" spans="1:11" ht="24" x14ac:dyDescent="0.4">
      <c r="A28" s="5" t="s">
        <v>75</v>
      </c>
      <c r="B28" s="5" t="s">
        <v>174</v>
      </c>
      <c r="C28" s="5">
        <v>623</v>
      </c>
      <c r="D28" s="5">
        <f>IFERROR(2*3440.065*ASIN(SQRT(SIN(RADIANS(VLOOKUP($B28,'Airport Parameters'!$A:$D,3,FALSE())-VLOOKUP($A28,'Airport Parameters'!$A:$D,3,FALSE()))/2)^2+COS(RADIANS(VLOOKUP($A28,'Airport Parameters'!$A:$D,3,FALSE())))*COS(RADIANS(VLOOKUP($B28,'Airport Parameters'!$A:$D,3,FALSE())))*SIN(RADIANS(VLOOKUP($B28,'Airport Parameters'!$A:$D,4,FALSE())-VLOOKUP($A28,'Airport Parameters'!$A:$D,4,FALSE()))/2)^2)),"")</f>
        <v>1466.76467202559</v>
      </c>
      <c r="E28" s="5">
        <f>VLOOKUP(A28,'Airport Parameters'!$A:$G,7,FALSE)</f>
        <v>536000</v>
      </c>
      <c r="F28" s="5">
        <f>VLOOKUP(B28,'Airport Parameters'!$A:$G,7,FALSE)</f>
        <v>127467</v>
      </c>
      <c r="G28" s="5">
        <f>VLOOKUP(A28,'Airport Parameters'!$A:$J,10,FALSE)</f>
        <v>33518945</v>
      </c>
      <c r="H28" s="5">
        <f>VLOOKUP(B28,'Airport Parameters'!$A:$J,10,FALSE)</f>
        <v>5233499</v>
      </c>
      <c r="I28" s="5"/>
      <c r="J28" s="5"/>
      <c r="K28" s="4"/>
    </row>
    <row r="29" spans="1:11" ht="24" x14ac:dyDescent="0.4">
      <c r="A29" s="5" t="s">
        <v>65</v>
      </c>
      <c r="B29" s="5" t="s">
        <v>208</v>
      </c>
      <c r="C29" s="5">
        <v>401</v>
      </c>
      <c r="D29" s="5">
        <f>IFERROR(2*3440.065*ASIN(SQRT(SIN(RADIANS(VLOOKUP($B29,'Airport Parameters'!$A:$D,3,FALSE())-VLOOKUP($A29,'Airport Parameters'!$A:$D,3,FALSE()))/2)^2+COS(RADIANS(VLOOKUP($A29,'Airport Parameters'!$A:$D,3,FALSE())))*COS(RADIANS(VLOOKUP($B29,'Airport Parameters'!$A:$D,3,FALSE())))*SIN(RADIANS(VLOOKUP($B29,'Airport Parameters'!$A:$D,4,FALSE())-VLOOKUP($A29,'Airport Parameters'!$A:$D,4,FALSE()))/2)^2)),"")</f>
        <v>1505.4782229145608</v>
      </c>
      <c r="E29" s="5">
        <f>VLOOKUP(A29,'Airport Parameters'!$A:$G,7,FALSE)</f>
        <v>511500</v>
      </c>
      <c r="F29" s="5">
        <f>VLOOKUP(B29,'Airport Parameters'!$A:$G,7,FALSE)</f>
        <v>889000</v>
      </c>
      <c r="G29" s="5">
        <f>VLOOKUP(A29,'Airport Parameters'!$A:$J,10,FALSE)</f>
        <v>56000000</v>
      </c>
      <c r="H29" s="5">
        <f>VLOOKUP(B29,'Airport Parameters'!$A:$J,10,FALSE)</f>
        <v>52020000</v>
      </c>
      <c r="I29" s="5"/>
      <c r="J29" s="5" t="s">
        <v>288</v>
      </c>
      <c r="K29" s="4"/>
    </row>
    <row r="30" spans="1:11" ht="24" x14ac:dyDescent="0.4">
      <c r="A30" s="5" t="s">
        <v>55</v>
      </c>
      <c r="B30" s="5" t="s">
        <v>210</v>
      </c>
      <c r="C30" s="5">
        <v>314</v>
      </c>
      <c r="D30" s="5">
        <f>IFERROR(2*3440.065*ASIN(SQRT(SIN(RADIANS(VLOOKUP($B30,'Airport Parameters'!$A:$D,3,FALSE())-VLOOKUP($A30,'Airport Parameters'!$A:$D,3,FALSE()))/2)^2+COS(RADIANS(VLOOKUP($A30,'Airport Parameters'!$A:$D,3,FALSE())))*COS(RADIANS(VLOOKUP($B30,'Airport Parameters'!$A:$D,3,FALSE())))*SIN(RADIANS(VLOOKUP($B30,'Airport Parameters'!$A:$D,4,FALSE())-VLOOKUP($A30,'Airport Parameters'!$A:$D,4,FALSE()))/2)^2)),"")</f>
        <v>1544.678543015438</v>
      </c>
      <c r="E30" s="5">
        <f>VLOOKUP(A30,'Airport Parameters'!$A:$G,7,FALSE)</f>
        <v>57939</v>
      </c>
      <c r="F30" s="5">
        <f>VLOOKUP(B30,'Airport Parameters'!$A:$G,7,FALSE)</f>
        <v>508</v>
      </c>
      <c r="G30" s="5">
        <f>VLOOKUP(A30,'Airport Parameters'!$A:$J,10,FALSE)</f>
        <v>3586337</v>
      </c>
      <c r="H30" s="5">
        <f>VLOOKUP(B30,'Airport Parameters'!$A:$J,10,FALSE)</f>
        <v>125000</v>
      </c>
      <c r="I30" s="5"/>
      <c r="J30" s="5"/>
      <c r="K30" s="4"/>
    </row>
    <row r="31" spans="1:11" ht="24" x14ac:dyDescent="0.4">
      <c r="A31" s="5" t="s">
        <v>134</v>
      </c>
      <c r="B31" s="5" t="s">
        <v>198</v>
      </c>
      <c r="C31" s="5">
        <v>509</v>
      </c>
      <c r="D31" s="5">
        <f>IFERROR(2*3440.065*ASIN(SQRT(SIN(RADIANS(VLOOKUP($B31,'Airport Parameters'!$A:$D,3,FALSE())-VLOOKUP($A31,'Airport Parameters'!$A:$D,3,FALSE()))/2)^2+COS(RADIANS(VLOOKUP($A31,'Airport Parameters'!$A:$D,3,FALSE())))*COS(RADIANS(VLOOKUP($B31,'Airport Parameters'!$A:$D,3,FALSE())))*SIN(RADIANS(VLOOKUP($B31,'Airport Parameters'!$A:$D,4,FALSE())-VLOOKUP($A31,'Airport Parameters'!$A:$D,4,FALSE()))/2)^2)),"")</f>
        <v>1673.7731682296469</v>
      </c>
      <c r="E31" s="5">
        <f>VLOOKUP(A31,'Airport Parameters'!$A:$G,7,FALSE)</f>
        <v>637333</v>
      </c>
      <c r="F31" s="5">
        <f>VLOOKUP(B31,'Airport Parameters'!$A:$G,7,FALSE)</f>
        <v>19429</v>
      </c>
      <c r="G31" s="5">
        <f>VLOOKUP(A31,'Airport Parameters'!$A:$J,10,FALSE)</f>
        <v>74071475</v>
      </c>
      <c r="H31" s="5">
        <f>VLOOKUP(B31,'Airport Parameters'!$A:$J,10,FALSE)</f>
        <v>967829</v>
      </c>
      <c r="I31" s="5"/>
      <c r="J31" s="5"/>
      <c r="K31" s="4"/>
    </row>
    <row r="32" spans="1:11" ht="24" x14ac:dyDescent="0.4">
      <c r="A32" s="5" t="s">
        <v>91</v>
      </c>
      <c r="B32" s="5" t="s">
        <v>254</v>
      </c>
      <c r="C32" s="5">
        <v>277</v>
      </c>
      <c r="D32" s="5">
        <f>IFERROR(2*3440.065*ASIN(SQRT(SIN(RADIANS(VLOOKUP($B32,'Airport Parameters'!$A:$D,3,FALSE())-VLOOKUP($A32,'Airport Parameters'!$A:$D,3,FALSE()))/2)^2+COS(RADIANS(VLOOKUP($A32,'Airport Parameters'!$A:$D,3,FALSE())))*COS(RADIANS(VLOOKUP($B32,'Airport Parameters'!$A:$D,3,FALSE())))*SIN(RADIANS(VLOOKUP($B32,'Airport Parameters'!$A:$D,4,FALSE())-VLOOKUP($A32,'Airport Parameters'!$A:$D,4,FALSE()))/2)^2)),"")</f>
        <v>1769.1101579451563</v>
      </c>
      <c r="E32" s="5">
        <f>VLOOKUP(A32,'Airport Parameters'!$A:$G,7,FALSE)</f>
        <v>6718</v>
      </c>
      <c r="F32" s="5">
        <f>VLOOKUP(B32,'Airport Parameters'!$A:$G,7,FALSE)</f>
        <v>18169</v>
      </c>
      <c r="G32" s="5">
        <f>VLOOKUP(A32,'Airport Parameters'!$A:$J,10,FALSE)</f>
        <v>428318</v>
      </c>
      <c r="H32" s="5">
        <f>VLOOKUP(B32,'Airport Parameters'!$A:$J,10,FALSE)</f>
        <v>1380000</v>
      </c>
      <c r="I32" s="5"/>
      <c r="J32" s="5"/>
      <c r="K32" s="4"/>
    </row>
    <row r="33" spans="1:11" ht="24" x14ac:dyDescent="0.4">
      <c r="A33" s="5" t="s">
        <v>33</v>
      </c>
      <c r="B33" s="5" t="s">
        <v>242</v>
      </c>
      <c r="C33" s="5">
        <v>657</v>
      </c>
      <c r="D33" s="5">
        <f>IFERROR(2*3440.065*ASIN(SQRT(SIN(RADIANS(VLOOKUP($B33,'Airport Parameters'!$A:$D,3,FALSE())-VLOOKUP($A33,'Airport Parameters'!$A:$D,3,FALSE()))/2)^2+COS(RADIANS(VLOOKUP($A33,'Airport Parameters'!$A:$D,3,FALSE())))*COS(RADIANS(VLOOKUP($B33,'Airport Parameters'!$A:$D,3,FALSE())))*SIN(RADIANS(VLOOKUP($B33,'Airport Parameters'!$A:$D,4,FALSE())-VLOOKUP($A33,'Airport Parameters'!$A:$D,4,FALSE()))/2)^2)),"")</f>
        <v>1851.6097247448856</v>
      </c>
      <c r="E33" s="5">
        <f>VLOOKUP(A33,'Airport Parameters'!$A:$G,7,FALSE)</f>
        <v>159333</v>
      </c>
      <c r="F33" s="5">
        <f>VLOOKUP(B33,'Airport Parameters'!$A:$G,7,FALSE)</f>
        <v>356667</v>
      </c>
      <c r="G33" s="5">
        <f>VLOOKUP(A33,'Airport Parameters'!$A:$J,10,FALSE)</f>
        <v>11426650</v>
      </c>
      <c r="H33" s="5">
        <f>VLOOKUP(B33,'Airport Parameters'!$A:$J,10,FALSE)</f>
        <v>26500000</v>
      </c>
      <c r="I33" s="5"/>
      <c r="J33" s="5"/>
      <c r="K33" s="4"/>
    </row>
    <row r="34" spans="1:11" ht="24" x14ac:dyDescent="0.4">
      <c r="A34" s="5" t="s">
        <v>118</v>
      </c>
      <c r="B34" s="5" t="s">
        <v>270</v>
      </c>
      <c r="C34" s="5">
        <v>262</v>
      </c>
      <c r="D34" s="5">
        <f>IFERROR(2*3440.065*ASIN(SQRT(SIN(RADIANS(VLOOKUP($B34,'Airport Parameters'!$A:$D,3,FALSE())-VLOOKUP($A34,'Airport Parameters'!$A:$D,3,FALSE()))/2)^2+COS(RADIANS(VLOOKUP($A34,'Airport Parameters'!$A:$D,3,FALSE())))*COS(RADIANS(VLOOKUP($B34,'Airport Parameters'!$A:$D,3,FALSE())))*SIN(RADIANS(VLOOKUP($B34,'Airport Parameters'!$A:$D,4,FALSE())-VLOOKUP($A34,'Airport Parameters'!$A:$D,4,FALSE()))/2)^2)),"")</f>
        <v>1888.9911186867212</v>
      </c>
      <c r="E34" s="5">
        <f>VLOOKUP(A34,'Airport Parameters'!$A:$G,7,FALSE)</f>
        <v>3014</v>
      </c>
      <c r="F34" s="5">
        <f>VLOOKUP(B34,'Airport Parameters'!$A:$G,7,FALSE)</f>
        <v>471500</v>
      </c>
      <c r="G34" s="5">
        <f>VLOOKUP(A34,'Airport Parameters'!$A:$J,10,FALSE)</f>
        <v>53896</v>
      </c>
      <c r="H34" s="5">
        <f>VLOOKUP(B34,'Airport Parameters'!$A:$J,10,FALSE)</f>
        <v>4405318</v>
      </c>
      <c r="I34" s="5"/>
      <c r="J34" s="5"/>
      <c r="K34" s="4"/>
    </row>
    <row r="35" spans="1:11" ht="24" x14ac:dyDescent="0.4">
      <c r="A35" s="5" t="s">
        <v>65</v>
      </c>
      <c r="B35" s="5" t="s">
        <v>154</v>
      </c>
      <c r="C35" s="5">
        <v>250</v>
      </c>
      <c r="D35" s="5">
        <f>IFERROR(2*3440.065*ASIN(SQRT(SIN(RADIANS(VLOOKUP($B35,'Airport Parameters'!$A:$D,3,FALSE())-VLOOKUP($A35,'Airport Parameters'!$A:$D,3,FALSE()))/2)^2+COS(RADIANS(VLOOKUP($A35,'Airport Parameters'!$A:$D,3,FALSE())))*COS(RADIANS(VLOOKUP($B35,'Airport Parameters'!$A:$D,3,FALSE())))*SIN(RADIANS(VLOOKUP($B35,'Airport Parameters'!$A:$D,4,FALSE())-VLOOKUP($A35,'Airport Parameters'!$A:$D,4,FALSE()))/2)^2)),"")</f>
        <v>2135.0483163522558</v>
      </c>
      <c r="E35" s="5">
        <f>VLOOKUP(A35,'Airport Parameters'!$A:$G,7,FALSE)</f>
        <v>511500</v>
      </c>
      <c r="F35" s="5">
        <f>VLOOKUP(B35,'Airport Parameters'!$A:$G,7,FALSE)</f>
        <v>414</v>
      </c>
      <c r="G35" s="5">
        <f>VLOOKUP(A35,'Airport Parameters'!$A:$J,10,FALSE)</f>
        <v>56000000</v>
      </c>
      <c r="H35" s="5">
        <f>VLOOKUP(B35,'Airport Parameters'!$A:$J,10,FALSE)</f>
        <v>36172</v>
      </c>
      <c r="I35" s="5"/>
      <c r="J35" s="5"/>
      <c r="K35" s="4"/>
    </row>
    <row r="36" spans="1:11" ht="24" x14ac:dyDescent="0.4">
      <c r="A36" s="5" t="s">
        <v>55</v>
      </c>
      <c r="B36" s="5" t="s">
        <v>71</v>
      </c>
      <c r="C36" s="5">
        <v>715</v>
      </c>
      <c r="D36" s="5">
        <f>IFERROR(2*3440.065*ASIN(SQRT(SIN(RADIANS(VLOOKUP($B36,'Airport Parameters'!$A:$D,3,FALSE())-VLOOKUP($A36,'Airport Parameters'!$A:$D,3,FALSE()))/2)^2+COS(RADIANS(VLOOKUP($A36,'Airport Parameters'!$A:$D,3,FALSE())))*COS(RADIANS(VLOOKUP($B36,'Airport Parameters'!$A:$D,3,FALSE())))*SIN(RADIANS(VLOOKUP($B36,'Airport Parameters'!$A:$D,4,FALSE())-VLOOKUP($A36,'Airport Parameters'!$A:$D,4,FALSE()))/2)^2)),"")</f>
        <v>2173.13846624999</v>
      </c>
      <c r="E36" s="5">
        <f>VLOOKUP(A36,'Airport Parameters'!$A:$G,7,FALSE)</f>
        <v>57939</v>
      </c>
      <c r="F36" s="5">
        <f>VLOOKUP(B36,'Airport Parameters'!$A:$G,7,FALSE)</f>
        <v>956000</v>
      </c>
      <c r="G36" s="5">
        <f>VLOOKUP(A36,'Airport Parameters'!$A:$J,10,FALSE)</f>
        <v>3586337</v>
      </c>
      <c r="H36" s="5">
        <f>VLOOKUP(B36,'Airport Parameters'!$A:$J,10,FALSE)</f>
        <v>8804019</v>
      </c>
      <c r="I36" s="5"/>
      <c r="J36" s="5"/>
      <c r="K36" s="4"/>
    </row>
    <row r="37" spans="1:11" ht="24" x14ac:dyDescent="0.4">
      <c r="A37" s="5" t="s">
        <v>248</v>
      </c>
      <c r="B37" s="5" t="s">
        <v>256</v>
      </c>
      <c r="C37" s="5">
        <v>623</v>
      </c>
      <c r="D37" s="5">
        <f>IFERROR(2*3440.065*ASIN(SQRT(SIN(RADIANS(VLOOKUP($B37,'Airport Parameters'!$A:$D,3,FALSE())-VLOOKUP($A37,'Airport Parameters'!$A:$D,3,FALSE()))/2)^2+COS(RADIANS(VLOOKUP($A37,'Airport Parameters'!$A:$D,3,FALSE())))*COS(RADIANS(VLOOKUP($B37,'Airport Parameters'!$A:$D,3,FALSE())))*SIN(RADIANS(VLOOKUP($B37,'Airport Parameters'!$A:$D,4,FALSE())-VLOOKUP($A37,'Airport Parameters'!$A:$D,4,FALSE()))/2)^2)),"")</f>
        <v>2233.5699741253702</v>
      </c>
      <c r="E37" s="5">
        <f>VLOOKUP(A37,'Airport Parameters'!$A:$G,7,FALSE)</f>
        <v>272500</v>
      </c>
      <c r="F37" s="5">
        <f>VLOOKUP(B37,'Airport Parameters'!$A:$G,7,FALSE)</f>
        <v>133750</v>
      </c>
      <c r="G37" s="5">
        <f>VLOOKUP(A37,'Airport Parameters'!$A:$J,10,FALSE)</f>
        <v>39859384</v>
      </c>
      <c r="H37" s="5">
        <f>VLOOKUP(B37,'Airport Parameters'!$A:$J,10,FALSE)</f>
        <v>4205541</v>
      </c>
      <c r="I37" s="5"/>
      <c r="J37" s="5"/>
      <c r="K37" s="4"/>
    </row>
    <row r="38" spans="1:11" ht="24" x14ac:dyDescent="0.4">
      <c r="A38" s="5" t="s">
        <v>132</v>
      </c>
      <c r="B38" s="5" t="s">
        <v>272</v>
      </c>
      <c r="C38" s="5">
        <v>577</v>
      </c>
      <c r="D38" s="5">
        <f>IFERROR(2*3440.065*ASIN(SQRT(SIN(RADIANS(VLOOKUP($B38,'Airport Parameters'!$A:$D,3,FALSE())-VLOOKUP($A38,'Airport Parameters'!$A:$D,3,FALSE()))/2)^2+COS(RADIANS(VLOOKUP($A38,'Airport Parameters'!$A:$D,3,FALSE())))*COS(RADIANS(VLOOKUP($B38,'Airport Parameters'!$A:$D,3,FALSE())))*SIN(RADIANS(VLOOKUP($B38,'Airport Parameters'!$A:$D,4,FALSE())-VLOOKUP($A38,'Airport Parameters'!$A:$D,4,FALSE()))/2)^2)),"")</f>
        <v>2298.369109714642</v>
      </c>
      <c r="E38" s="5">
        <f>VLOOKUP(A38,'Airport Parameters'!$A:$G,7,FALSE)</f>
        <v>1768000</v>
      </c>
      <c r="F38" s="5">
        <f>VLOOKUP(B38,'Airport Parameters'!$A:$G,7,FALSE)</f>
        <v>104778</v>
      </c>
      <c r="G38" s="5">
        <f>VLOOKUP(A38,'Airport Parameters'!$A:$J,10,FALSE)</f>
        <v>29166438</v>
      </c>
      <c r="H38" s="5">
        <f>VLOOKUP(B38,'Airport Parameters'!$A:$J,10,FALSE)</f>
        <v>2167270</v>
      </c>
      <c r="I38" s="5"/>
      <c r="J38" s="5"/>
      <c r="K38" s="4"/>
    </row>
    <row r="39" spans="1:11" ht="24" x14ac:dyDescent="0.4">
      <c r="A39" s="5" t="s">
        <v>87</v>
      </c>
      <c r="B39" s="5" t="s">
        <v>134</v>
      </c>
      <c r="C39" s="5">
        <v>762</v>
      </c>
      <c r="D39" s="5">
        <f>IFERROR(2*3440.065*ASIN(SQRT(SIN(RADIANS(VLOOKUP($B39,'Airport Parameters'!$A:$D,3,FALSE())-VLOOKUP($A39,'Airport Parameters'!$A:$D,3,FALSE()))/2)^2+COS(RADIANS(VLOOKUP($A39,'Airport Parameters'!$A:$D,3,FALSE())))*COS(RADIANS(VLOOKUP($B39,'Airport Parameters'!$A:$D,3,FALSE())))*SIN(RADIANS(VLOOKUP($B39,'Airport Parameters'!$A:$D,4,FALSE())-VLOOKUP($A39,'Airport Parameters'!$A:$D,4,FALSE()))/2)^2)),"")</f>
        <v>2512.1352018826551</v>
      </c>
      <c r="E39" s="5">
        <f>VLOOKUP(A39,'Airport Parameters'!$A:$G,7,FALSE)</f>
        <v>1787000</v>
      </c>
      <c r="F39" s="5">
        <f>VLOOKUP(B39,'Airport Parameters'!$A:$G,7,FALSE)</f>
        <v>637333</v>
      </c>
      <c r="G39" s="5">
        <f>VLOOKUP(A39,'Airport Parameters'!$A:$J,10,FALSE)</f>
        <v>79259890</v>
      </c>
      <c r="H39" s="5">
        <f>VLOOKUP(B39,'Airport Parameters'!$A:$J,10,FALSE)</f>
        <v>74071475</v>
      </c>
      <c r="I39" s="5"/>
      <c r="J39" s="5"/>
      <c r="K39" s="4"/>
    </row>
    <row r="40" spans="1:11" ht="24" x14ac:dyDescent="0.4">
      <c r="A40" s="5" t="s">
        <v>103</v>
      </c>
      <c r="B40" s="5" t="s">
        <v>136</v>
      </c>
      <c r="C40" s="5">
        <v>641</v>
      </c>
      <c r="D40" s="5">
        <f>IFERROR(2*3440.065*ASIN(SQRT(SIN(RADIANS(VLOOKUP($B40,'Airport Parameters'!$A:$D,3,FALSE())-VLOOKUP($A40,'Airport Parameters'!$A:$D,3,FALSE()))/2)^2+COS(RADIANS(VLOOKUP($A40,'Airport Parameters'!$A:$D,3,FALSE())))*COS(RADIANS(VLOOKUP($B40,'Airport Parameters'!$A:$D,3,FALSE())))*SIN(RADIANS(VLOOKUP($B40,'Airport Parameters'!$A:$D,4,FALSE())-VLOOKUP($A40,'Airport Parameters'!$A:$D,4,FALSE()))/2)^2)),"")</f>
        <v>2512.2792776423944</v>
      </c>
      <c r="E40" s="5">
        <f>VLOOKUP(A40,'Airport Parameters'!$A:$G,7,FALSE)</f>
        <v>296000</v>
      </c>
      <c r="F40" s="5">
        <f>VLOOKUP(B40,'Airport Parameters'!$A:$G,7,FALSE)</f>
        <v>68855</v>
      </c>
      <c r="G40" s="5">
        <f>VLOOKUP(A40,'Airport Parameters'!$A:$J,10,FALSE)</f>
        <v>15837102</v>
      </c>
      <c r="H40" s="5">
        <f>VLOOKUP(B40,'Airport Parameters'!$A:$J,10,FALSE)</f>
        <v>7271338</v>
      </c>
      <c r="I40" s="5"/>
      <c r="J40" s="5"/>
      <c r="K40" s="4"/>
    </row>
    <row r="41" spans="1:11" ht="24" x14ac:dyDescent="0.4">
      <c r="A41" s="5" t="s">
        <v>93</v>
      </c>
      <c r="B41" s="5" t="s">
        <v>136</v>
      </c>
      <c r="C41" s="5">
        <v>603</v>
      </c>
      <c r="D41" s="5">
        <f>IFERROR(2*3440.065*ASIN(SQRT(SIN(RADIANS(VLOOKUP($B41,'Airport Parameters'!$A:$D,3,FALSE())-VLOOKUP($A41,'Airport Parameters'!$A:$D,3,FALSE()))/2)^2+COS(RADIANS(VLOOKUP($A41,'Airport Parameters'!$A:$D,3,FALSE())))*COS(RADIANS(VLOOKUP($B41,'Airport Parameters'!$A:$D,3,FALSE())))*SIN(RADIANS(VLOOKUP($B41,'Airport Parameters'!$A:$D,4,FALSE())-VLOOKUP($A41,'Airport Parameters'!$A:$D,4,FALSE()))/2)^2)),"")</f>
        <v>2582.457095416808</v>
      </c>
      <c r="E41" s="5">
        <f>VLOOKUP(A41,'Airport Parameters'!$A:$G,7,FALSE)</f>
        <v>26071</v>
      </c>
      <c r="F41" s="5">
        <f>VLOOKUP(B41,'Airport Parameters'!$A:$G,7,FALSE)</f>
        <v>68855</v>
      </c>
      <c r="G41" s="5">
        <f>VLOOKUP(A41,'Airport Parameters'!$A:$J,10,FALSE)</f>
        <v>3750473</v>
      </c>
      <c r="H41" s="5">
        <f>VLOOKUP(B41,'Airport Parameters'!$A:$J,10,FALSE)</f>
        <v>7271338</v>
      </c>
      <c r="I41" s="5"/>
      <c r="J41" s="5"/>
      <c r="K41" s="4"/>
    </row>
    <row r="42" spans="1:11" ht="24" x14ac:dyDescent="0.4">
      <c r="A42" s="5" t="s">
        <v>99</v>
      </c>
      <c r="B42" s="5" t="s">
        <v>126</v>
      </c>
      <c r="C42" s="5">
        <v>684</v>
      </c>
      <c r="D42" s="5">
        <f>IFERROR(2*3440.065*ASIN(SQRT(SIN(RADIANS(VLOOKUP($B42,'Airport Parameters'!$A:$D,3,FALSE())-VLOOKUP($A42,'Airport Parameters'!$A:$D,3,FALSE()))/2)^2+COS(RADIANS(VLOOKUP($A42,'Airport Parameters'!$A:$D,3,FALSE())))*COS(RADIANS(VLOOKUP($B42,'Airport Parameters'!$A:$D,3,FALSE())))*SIN(RADIANS(VLOOKUP($B42,'Airport Parameters'!$A:$D,4,FALSE())-VLOOKUP($A42,'Airport Parameters'!$A:$D,4,FALSE()))/2)^2)),"")</f>
        <v>2660.4730634641596</v>
      </c>
      <c r="E42" s="5">
        <f>VLOOKUP(A42,'Airport Parameters'!$A:$G,7,FALSE)</f>
        <v>685000</v>
      </c>
      <c r="F42" s="5">
        <f>VLOOKUP(B42,'Airport Parameters'!$A:$G,7,FALSE)</f>
        <v>203250</v>
      </c>
      <c r="G42" s="5">
        <f>VLOOKUP(A42,'Airport Parameters'!$A:$J,10,FALSE)</f>
        <v>95200000</v>
      </c>
      <c r="H42" s="5">
        <f>VLOOKUP(B42,'Airport Parameters'!$A:$J,10,FALSE)</f>
        <v>17215315</v>
      </c>
      <c r="I42" s="5"/>
      <c r="J42" s="5"/>
      <c r="K42" s="4"/>
    </row>
    <row r="43" spans="1:11" ht="24" x14ac:dyDescent="0.4">
      <c r="A43" s="5" t="s">
        <v>61</v>
      </c>
      <c r="B43" s="5" t="s">
        <v>160</v>
      </c>
      <c r="C43" s="5">
        <v>773</v>
      </c>
      <c r="D43" s="5">
        <f>IFERROR(2*3440.065*ASIN(SQRT(SIN(RADIANS(VLOOKUP($B43,'Airport Parameters'!$A:$D,3,FALSE())-VLOOKUP($A43,'Airport Parameters'!$A:$D,3,FALSE()))/2)^2+COS(RADIANS(VLOOKUP($A43,'Airport Parameters'!$A:$D,3,FALSE())))*COS(RADIANS(VLOOKUP($B43,'Airport Parameters'!$A:$D,3,FALSE())))*SIN(RADIANS(VLOOKUP($B43,'Airport Parameters'!$A:$D,4,FALSE())-VLOOKUP($A43,'Airport Parameters'!$A:$D,4,FALSE()))/2)^2)),"")</f>
        <v>2728.4200246863506</v>
      </c>
      <c r="E43" s="5">
        <f>VLOOKUP(A43,'Airport Parameters'!$A:$G,7,FALSE)</f>
        <v>1028000</v>
      </c>
      <c r="F43" s="5">
        <f>VLOOKUP(B43,'Airport Parameters'!$A:$G,7,FALSE)</f>
        <v>254000</v>
      </c>
      <c r="G43" s="5">
        <f>VLOOKUP(A43,'Airport Parameters'!$A:$J,10,FALSE)</f>
        <v>19784417</v>
      </c>
      <c r="H43" s="5">
        <f>VLOOKUP(B43,'Airport Parameters'!$A:$J,10,FALSE)</f>
        <v>53400000</v>
      </c>
      <c r="I43" s="5"/>
      <c r="J43" s="5"/>
      <c r="K43" s="4"/>
    </row>
    <row r="44" spans="1:11" ht="24" x14ac:dyDescent="0.4">
      <c r="A44" s="5" t="s">
        <v>174</v>
      </c>
      <c r="B44" s="5" t="s">
        <v>208</v>
      </c>
      <c r="C44" s="5">
        <v>639</v>
      </c>
      <c r="D44" s="5">
        <f>IFERROR(2*3440.065*ASIN(SQRT(SIN(RADIANS(VLOOKUP($B44,'Airport Parameters'!$A:$D,3,FALSE())-VLOOKUP($A44,'Airport Parameters'!$A:$D,3,FALSE()))/2)^2+COS(RADIANS(VLOOKUP($A44,'Airport Parameters'!$A:$D,3,FALSE())))*COS(RADIANS(VLOOKUP($B44,'Airport Parameters'!$A:$D,3,FALSE())))*SIN(RADIANS(VLOOKUP($B44,'Airport Parameters'!$A:$D,4,FALSE())-VLOOKUP($A44,'Airport Parameters'!$A:$D,4,FALSE()))/2)^2)),"")</f>
        <v>2796.4370602056892</v>
      </c>
      <c r="E44" s="5">
        <f>VLOOKUP(A44,'Airport Parameters'!$A:$G,7,FALSE)</f>
        <v>127467</v>
      </c>
      <c r="F44" s="5">
        <f>VLOOKUP(B44,'Airport Parameters'!$A:$G,7,FALSE)</f>
        <v>889000</v>
      </c>
      <c r="G44" s="5">
        <f>VLOOKUP(A44,'Airport Parameters'!$A:$J,10,FALSE)</f>
        <v>5233499</v>
      </c>
      <c r="H44" s="5">
        <f>VLOOKUP(B44,'Airport Parameters'!$A:$J,10,FALSE)</f>
        <v>52020000</v>
      </c>
      <c r="I44" s="5"/>
      <c r="J44" s="5"/>
      <c r="K44" s="4"/>
    </row>
    <row r="45" spans="1:11" ht="24" x14ac:dyDescent="0.4">
      <c r="A45" s="5" t="s">
        <v>148</v>
      </c>
      <c r="B45" s="5" t="s">
        <v>182</v>
      </c>
      <c r="C45" s="5">
        <v>635</v>
      </c>
      <c r="D45" s="5">
        <f>IFERROR(2*3440.065*ASIN(SQRT(SIN(RADIANS(VLOOKUP($B45,'Airport Parameters'!$A:$D,3,FALSE())-VLOOKUP($A45,'Airport Parameters'!$A:$D,3,FALSE()))/2)^2+COS(RADIANS(VLOOKUP($A45,'Airport Parameters'!$A:$D,3,FALSE())))*COS(RADIANS(VLOOKUP($B45,'Airport Parameters'!$A:$D,3,FALSE())))*SIN(RADIANS(VLOOKUP($B45,'Airport Parameters'!$A:$D,4,FALSE())-VLOOKUP($A45,'Airport Parameters'!$A:$D,4,FALSE()))/2)^2)),"")</f>
        <v>2864.6775742655536</v>
      </c>
      <c r="E45" s="5">
        <f>VLOOKUP(A45,'Airport Parameters'!$A:$G,7,FALSE)</f>
        <v>1912000</v>
      </c>
      <c r="F45" s="5">
        <f>VLOOKUP(B45,'Airport Parameters'!$A:$G,7,FALSE)</f>
        <v>312894</v>
      </c>
      <c r="G45" s="5">
        <f>VLOOKUP(A45,'Airport Parameters'!$A:$J,10,FALSE)</f>
        <v>84457421</v>
      </c>
      <c r="H45" s="5">
        <f>VLOOKUP(B45,'Airport Parameters'!$A:$J,10,FALSE)</f>
        <v>8991993</v>
      </c>
      <c r="I45" s="5"/>
      <c r="J45" s="5"/>
      <c r="K45" s="4"/>
    </row>
    <row r="46" spans="1:11" ht="24" x14ac:dyDescent="0.4">
      <c r="A46" s="5" t="s">
        <v>107</v>
      </c>
      <c r="B46" s="5" t="s">
        <v>280</v>
      </c>
      <c r="C46" s="5">
        <v>474</v>
      </c>
      <c r="D46" s="5">
        <f>IFERROR(2*3440.065*ASIN(SQRT(SIN(RADIANS(VLOOKUP($B46,'Airport Parameters'!$A:$D,3,FALSE())-VLOOKUP($A46,'Airport Parameters'!$A:$D,3,FALSE()))/2)^2+COS(RADIANS(VLOOKUP($A46,'Airport Parameters'!$A:$D,3,FALSE())))*COS(RADIANS(VLOOKUP($B46,'Airport Parameters'!$A:$D,3,FALSE())))*SIN(RADIANS(VLOOKUP($B46,'Airport Parameters'!$A:$D,4,FALSE())-VLOOKUP($A46,'Airport Parameters'!$A:$D,4,FALSE()))/2)^2)),"")</f>
        <v>3057.5347596708816</v>
      </c>
      <c r="E46" s="5">
        <f>VLOOKUP(A46,'Airport Parameters'!$A:$G,7,FALSE)</f>
        <v>356667</v>
      </c>
      <c r="F46" s="5">
        <f>VLOOKUP(B46,'Airport Parameters'!$A:$G,7,FALSE)</f>
        <v>876</v>
      </c>
      <c r="G46" s="5">
        <f>VLOOKUP(A46,'Airport Parameters'!$A:$J,10,FALSE)</f>
        <v>12853024</v>
      </c>
      <c r="H46" s="5">
        <f>VLOOKUP(B46,'Airport Parameters'!$A:$J,10,FALSE)</f>
        <v>634031</v>
      </c>
      <c r="I46" s="5"/>
      <c r="J46" s="5"/>
      <c r="K46" s="4"/>
    </row>
    <row r="47" spans="1:11" ht="24" x14ac:dyDescent="0.4">
      <c r="A47" s="5" t="s">
        <v>126</v>
      </c>
      <c r="B47" s="5" t="s">
        <v>242</v>
      </c>
      <c r="C47" s="5">
        <v>681</v>
      </c>
      <c r="D47" s="5">
        <f>IFERROR(2*3440.065*ASIN(SQRT(SIN(RADIANS(VLOOKUP($B47,'Airport Parameters'!$A:$D,3,FALSE())-VLOOKUP($A47,'Airport Parameters'!$A:$D,3,FALSE()))/2)^2+COS(RADIANS(VLOOKUP($A47,'Airport Parameters'!$A:$D,3,FALSE())))*COS(RADIANS(VLOOKUP($B47,'Airport Parameters'!$A:$D,3,FALSE())))*SIN(RADIANS(VLOOKUP($B47,'Airport Parameters'!$A:$D,4,FALSE())-VLOOKUP($A47,'Airport Parameters'!$A:$D,4,FALSE()))/2)^2)),"")</f>
        <v>3116.9750028840995</v>
      </c>
      <c r="E47" s="5">
        <f>VLOOKUP(A47,'Airport Parameters'!$A:$G,7,FALSE)</f>
        <v>203250</v>
      </c>
      <c r="F47" s="5">
        <f>VLOOKUP(B47,'Airport Parameters'!$A:$G,7,FALSE)</f>
        <v>356667</v>
      </c>
      <c r="G47" s="5">
        <f>VLOOKUP(A47,'Airport Parameters'!$A:$J,10,FALSE)</f>
        <v>17215315</v>
      </c>
      <c r="H47" s="5">
        <f>VLOOKUP(B47,'Airport Parameters'!$A:$J,10,FALSE)</f>
        <v>26500000</v>
      </c>
      <c r="I47" s="5"/>
      <c r="J47" s="5"/>
      <c r="K47" s="4"/>
    </row>
    <row r="48" spans="1:11" ht="24" x14ac:dyDescent="0.4">
      <c r="A48" s="5" t="s">
        <v>97</v>
      </c>
      <c r="B48" s="5" t="s">
        <v>228</v>
      </c>
      <c r="C48" s="5">
        <v>755</v>
      </c>
      <c r="D48" s="5">
        <f>IFERROR(2*3440.065*ASIN(SQRT(SIN(RADIANS(VLOOKUP($B48,'Airport Parameters'!$A:$D,3,FALSE())-VLOOKUP($A48,'Airport Parameters'!$A:$D,3,FALSE()))/2)^2+COS(RADIANS(VLOOKUP($A48,'Airport Parameters'!$A:$D,3,FALSE())))*COS(RADIANS(VLOOKUP($B48,'Airport Parameters'!$A:$D,3,FALSE())))*SIN(RADIANS(VLOOKUP($B48,'Airport Parameters'!$A:$D,4,FALSE())-VLOOKUP($A48,'Airport Parameters'!$A:$D,4,FALSE()))/2)^2)),"")</f>
        <v>3327.4687059396424</v>
      </c>
      <c r="E48" s="5">
        <f>VLOOKUP(A48,'Airport Parameters'!$A:$G,7,FALSE)</f>
        <v>511500</v>
      </c>
      <c r="F48" s="5">
        <f>VLOOKUP(B48,'Airport Parameters'!$A:$G,7,FALSE)</f>
        <v>2180000</v>
      </c>
      <c r="G48" s="5">
        <f>VLOOKUP(A48,'Airport Parameters'!$A:$J,10,FALSE)</f>
        <v>54300000</v>
      </c>
      <c r="H48" s="5">
        <f>VLOOKUP(B48,'Airport Parameters'!$A:$J,10,FALSE)</f>
        <v>70742712</v>
      </c>
      <c r="I48" s="5"/>
      <c r="J48" s="5"/>
      <c r="K48" s="4"/>
    </row>
    <row r="49" spans="1:11" ht="24" x14ac:dyDescent="0.4">
      <c r="A49" s="5" t="s">
        <v>35</v>
      </c>
      <c r="B49" s="5" t="s">
        <v>75</v>
      </c>
      <c r="C49" s="5">
        <v>657</v>
      </c>
      <c r="D49" s="5">
        <f>IFERROR(2*3440.065*ASIN(SQRT(SIN(RADIANS(VLOOKUP($B49,'Airport Parameters'!$A:$D,3,FALSE())-VLOOKUP($A49,'Airport Parameters'!$A:$D,3,FALSE()))/2)^2+COS(RADIANS(VLOOKUP($A49,'Airport Parameters'!$A:$D,3,FALSE())))*COS(RADIANS(VLOOKUP($B49,'Airport Parameters'!$A:$D,3,FALSE())))*SIN(RADIANS(VLOOKUP($B49,'Airport Parameters'!$A:$D,4,FALSE())-VLOOKUP($A49,'Airport Parameters'!$A:$D,4,FALSE()))/2)^2)),"")</f>
        <v>3431.6280876778224</v>
      </c>
      <c r="E49" s="5">
        <f>VLOOKUP(A49,'Airport Parameters'!$A:$G,7,FALSE)</f>
        <v>153000</v>
      </c>
      <c r="F49" s="5">
        <f>VLOOKUP(B49,'Airport Parameters'!$A:$G,7,FALSE)</f>
        <v>536000</v>
      </c>
      <c r="G49" s="5">
        <f>VLOOKUP(A49,'Airport Parameters'!$A:$J,10,FALSE)</f>
        <v>7837501</v>
      </c>
      <c r="H49" s="5">
        <f>VLOOKUP(B49,'Airport Parameters'!$A:$J,10,FALSE)</f>
        <v>33518945</v>
      </c>
      <c r="I49" s="5"/>
      <c r="J49" s="5"/>
      <c r="K49" s="4"/>
    </row>
    <row r="50" spans="1:11" ht="24" x14ac:dyDescent="0.4">
      <c r="A50" s="5" t="s">
        <v>93</v>
      </c>
      <c r="B50" s="5" t="s">
        <v>220</v>
      </c>
      <c r="C50" s="5">
        <v>208</v>
      </c>
      <c r="D50" s="5">
        <f>IFERROR(2*3440.065*ASIN(SQRT(SIN(RADIANS(VLOOKUP($B50,'Airport Parameters'!$A:$D,3,FALSE())-VLOOKUP($A50,'Airport Parameters'!$A:$D,3,FALSE()))/2)^2+COS(RADIANS(VLOOKUP($A50,'Airport Parameters'!$A:$D,3,FALSE())))*COS(RADIANS(VLOOKUP($B50,'Airport Parameters'!$A:$D,3,FALSE())))*SIN(RADIANS(VLOOKUP($B50,'Airport Parameters'!$A:$D,4,FALSE())-VLOOKUP($A50,'Airport Parameters'!$A:$D,4,FALSE()))/2)^2)),"")</f>
        <v>3443.4531726526056</v>
      </c>
      <c r="E50" s="5">
        <f>VLOOKUP(A50,'Airport Parameters'!$A:$G,7,FALSE)</f>
        <v>26071</v>
      </c>
      <c r="F50" s="5">
        <f>VLOOKUP(B50,'Airport Parameters'!$A:$G,7,FALSE)</f>
        <v>340</v>
      </c>
      <c r="G50" s="5">
        <f>VLOOKUP(A50,'Airport Parameters'!$A:$J,10,FALSE)</f>
        <v>3750473</v>
      </c>
      <c r="H50" s="5">
        <f>VLOOKUP(B50,'Airport Parameters'!$A:$J,10,FALSE)</f>
        <v>25000</v>
      </c>
      <c r="I50" s="5"/>
      <c r="J50" s="5"/>
      <c r="K50" s="4"/>
    </row>
    <row r="51" spans="1:11" ht="24" x14ac:dyDescent="0.4">
      <c r="A51" s="5" t="s">
        <v>116</v>
      </c>
      <c r="B51" s="5" t="s">
        <v>134</v>
      </c>
      <c r="C51" s="5">
        <v>631</v>
      </c>
      <c r="D51" s="5">
        <f>IFERROR(2*3440.065*ASIN(SQRT(SIN(RADIANS(VLOOKUP($B51,'Airport Parameters'!$A:$D,3,FALSE())-VLOOKUP($A51,'Airport Parameters'!$A:$D,3,FALSE()))/2)^2+COS(RADIANS(VLOOKUP($A51,'Airport Parameters'!$A:$D,3,FALSE())))*COS(RADIANS(VLOOKUP($B51,'Airport Parameters'!$A:$D,3,FALSE())))*SIN(RADIANS(VLOOKUP($B51,'Airport Parameters'!$A:$D,4,FALSE())-VLOOKUP($A51,'Airport Parameters'!$A:$D,4,FALSE()))/2)^2)),"")</f>
        <v>3454.5423981914523</v>
      </c>
      <c r="E51" s="5">
        <f>VLOOKUP(A51,'Airport Parameters'!$A:$G,7,FALSE)</f>
        <v>254000</v>
      </c>
      <c r="F51" s="5">
        <f>VLOOKUP(B51,'Airport Parameters'!$A:$G,7,FALSE)</f>
        <v>637333</v>
      </c>
      <c r="G51" s="5">
        <f>VLOOKUP(A51,'Airport Parameters'!$A:$J,10,FALSE)</f>
        <v>7537000</v>
      </c>
      <c r="H51" s="5">
        <f>VLOOKUP(B51,'Airport Parameters'!$A:$J,10,FALSE)</f>
        <v>74071475</v>
      </c>
      <c r="I51" s="5"/>
      <c r="J51" s="5"/>
      <c r="K51" s="4"/>
    </row>
    <row r="52" spans="1:11" ht="24" x14ac:dyDescent="0.4">
      <c r="A52" s="5" t="s">
        <v>45</v>
      </c>
      <c r="B52" s="5" t="s">
        <v>218</v>
      </c>
      <c r="C52" s="5">
        <v>465</v>
      </c>
      <c r="D52" s="5">
        <f>IFERROR(2*3440.065*ASIN(SQRT(SIN(RADIANS(VLOOKUP($B52,'Airport Parameters'!$A:$D,3,FALSE())-VLOOKUP($A52,'Airport Parameters'!$A:$D,3,FALSE()))/2)^2+COS(RADIANS(VLOOKUP($A52,'Airport Parameters'!$A:$D,3,FALSE())))*COS(RADIANS(VLOOKUP($B52,'Airport Parameters'!$A:$D,3,FALSE())))*SIN(RADIANS(VLOOKUP($B52,'Airport Parameters'!$A:$D,4,FALSE())-VLOOKUP($A52,'Airport Parameters'!$A:$D,4,FALSE()))/2)^2)),"")</f>
        <v>3498.9567246713459</v>
      </c>
      <c r="E52" s="5">
        <f>VLOOKUP(A52,'Airport Parameters'!$A:$G,7,FALSE)</f>
        <v>20815</v>
      </c>
      <c r="F52" s="5">
        <f>VLOOKUP(B52,'Airport Parameters'!$A:$G,7,FALSE)</f>
        <v>637333</v>
      </c>
      <c r="G52" s="5">
        <f>VLOOKUP(A52,'Airport Parameters'!$A:$J,10,FALSE)</f>
        <v>525000</v>
      </c>
      <c r="H52" s="5">
        <f>VLOOKUP(B52,'Airport Parameters'!$A:$J,10,FALSE)</f>
        <v>39807651</v>
      </c>
      <c r="I52" s="5"/>
      <c r="J52" s="5"/>
      <c r="K52" s="4"/>
    </row>
    <row r="53" spans="1:11" ht="24" x14ac:dyDescent="0.4">
      <c r="A53" s="5" t="s">
        <v>77</v>
      </c>
      <c r="B53" s="5" t="s">
        <v>244</v>
      </c>
      <c r="C53" s="5">
        <v>239</v>
      </c>
      <c r="D53" s="5">
        <f>IFERROR(2*3440.065*ASIN(SQRT(SIN(RADIANS(VLOOKUP($B53,'Airport Parameters'!$A:$D,3,FALSE())-VLOOKUP($A53,'Airport Parameters'!$A:$D,3,FALSE()))/2)^2+COS(RADIANS(VLOOKUP($A53,'Airport Parameters'!$A:$D,3,FALSE())))*COS(RADIANS(VLOOKUP($B53,'Airport Parameters'!$A:$D,3,FALSE())))*SIN(RADIANS(VLOOKUP($B53,'Airport Parameters'!$A:$D,4,FALSE())-VLOOKUP($A53,'Airport Parameters'!$A:$D,4,FALSE()))/2)^2)),"")</f>
        <v>3660.4388339841908</v>
      </c>
      <c r="E53" s="5">
        <f>VLOOKUP(A53,'Airport Parameters'!$A:$G,7,FALSE)</f>
        <v>2216</v>
      </c>
      <c r="F53" s="5">
        <f>VLOOKUP(B53,'Airport Parameters'!$A:$G,7,FALSE)</f>
        <v>15000</v>
      </c>
      <c r="G53" s="5">
        <f>VLOOKUP(A53,'Airport Parameters'!$A:$J,10,FALSE)</f>
        <v>48719</v>
      </c>
      <c r="H53" s="5">
        <f>VLOOKUP(B53,'Airport Parameters'!$A:$J,10,FALSE)</f>
        <v>948151</v>
      </c>
      <c r="I53" s="5"/>
      <c r="J53" s="5"/>
      <c r="K53" s="4"/>
    </row>
    <row r="54" spans="1:11" ht="24" x14ac:dyDescent="0.4">
      <c r="A54" s="5" t="s">
        <v>126</v>
      </c>
      <c r="B54" s="5" t="s">
        <v>244</v>
      </c>
      <c r="C54" s="5">
        <v>514</v>
      </c>
      <c r="D54" s="5">
        <f>IFERROR(2*3440.065*ASIN(SQRT(SIN(RADIANS(VLOOKUP($B54,'Airport Parameters'!$A:$D,3,FALSE())-VLOOKUP($A54,'Airport Parameters'!$A:$D,3,FALSE()))/2)^2+COS(RADIANS(VLOOKUP($A54,'Airport Parameters'!$A:$D,3,FALSE())))*COS(RADIANS(VLOOKUP($B54,'Airport Parameters'!$A:$D,3,FALSE())))*SIN(RADIANS(VLOOKUP($B54,'Airport Parameters'!$A:$D,4,FALSE())-VLOOKUP($A54,'Airport Parameters'!$A:$D,4,FALSE()))/2)^2)),"")</f>
        <v>4541.603672179288</v>
      </c>
      <c r="E54" s="5">
        <f>VLOOKUP(A54,'Airport Parameters'!$A:$G,7,FALSE)</f>
        <v>203250</v>
      </c>
      <c r="F54" s="5">
        <f>VLOOKUP(B54,'Airport Parameters'!$A:$G,7,FALSE)</f>
        <v>15000</v>
      </c>
      <c r="G54" s="5">
        <f>VLOOKUP(A54,'Airport Parameters'!$A:$J,10,FALSE)</f>
        <v>17215315</v>
      </c>
      <c r="H54" s="5">
        <f>VLOOKUP(B54,'Airport Parameters'!$A:$J,10,FALSE)</f>
        <v>948151</v>
      </c>
      <c r="I54" s="5"/>
      <c r="J54" s="5"/>
      <c r="K54" s="4"/>
    </row>
    <row r="55" spans="1:11" ht="24" x14ac:dyDescent="0.4">
      <c r="A55" s="5" t="s">
        <v>210</v>
      </c>
      <c r="B55" s="5" t="s">
        <v>258</v>
      </c>
      <c r="C55" s="5">
        <v>343</v>
      </c>
      <c r="D55" s="5">
        <f>IFERROR(2*3440.065*ASIN(SQRT(SIN(RADIANS(VLOOKUP($B55,'Airport Parameters'!$A:$D,3,FALSE())-VLOOKUP($A55,'Airport Parameters'!$A:$D,3,FALSE()))/2)^2+COS(RADIANS(VLOOKUP($A55,'Airport Parameters'!$A:$D,3,FALSE())))*COS(RADIANS(VLOOKUP($B55,'Airport Parameters'!$A:$D,3,FALSE())))*SIN(RADIANS(VLOOKUP($B55,'Airport Parameters'!$A:$D,4,FALSE())-VLOOKUP($A55,'Airport Parameters'!$A:$D,4,FALSE()))/2)^2)),"")</f>
        <v>4700.4170003275367</v>
      </c>
      <c r="E55" s="5">
        <f>VLOOKUP(A55,'Airport Parameters'!$A:$G,7,FALSE)</f>
        <v>508</v>
      </c>
      <c r="F55" s="5">
        <f>VLOOKUP(B55,'Airport Parameters'!$A:$G,7,FALSE)</f>
        <v>496667</v>
      </c>
      <c r="G55" s="5">
        <f>VLOOKUP(A55,'Airport Parameters'!$A:$J,10,FALSE)</f>
        <v>125000</v>
      </c>
      <c r="H55" s="5">
        <f>VLOOKUP(B55,'Airport Parameters'!$A:$J,10,FALSE)</f>
        <v>41367223</v>
      </c>
      <c r="I55" s="5"/>
      <c r="J55" s="5"/>
      <c r="K55" s="4"/>
    </row>
    <row r="56" spans="1:11" ht="24" x14ac:dyDescent="0.4">
      <c r="A56" s="5" t="s">
        <v>126</v>
      </c>
      <c r="B56" s="5" t="s">
        <v>190</v>
      </c>
      <c r="C56" s="5">
        <v>695</v>
      </c>
      <c r="D56" s="5">
        <f>IFERROR(2*3440.065*ASIN(SQRT(SIN(RADIANS(VLOOKUP($B56,'Airport Parameters'!$A:$D,3,FALSE())-VLOOKUP($A56,'Airport Parameters'!$A:$D,3,FALSE()))/2)^2+COS(RADIANS(VLOOKUP($A56,'Airport Parameters'!$A:$D,3,FALSE())))*COS(RADIANS(VLOOKUP($B56,'Airport Parameters'!$A:$D,3,FALSE())))*SIN(RADIANS(VLOOKUP($B56,'Airport Parameters'!$A:$D,4,FALSE())-VLOOKUP($A56,'Airport Parameters'!$A:$D,4,FALSE()))/2)^2)),"")</f>
        <v>5347.6146939942591</v>
      </c>
      <c r="E56" s="5">
        <f>VLOOKUP(A56,'Airport Parameters'!$A:$G,7,FALSE)</f>
        <v>203250</v>
      </c>
      <c r="F56" s="5">
        <f>VLOOKUP(B56,'Airport Parameters'!$A:$G,7,FALSE)</f>
        <v>1499000</v>
      </c>
      <c r="G56" s="5">
        <f>VLOOKUP(A56,'Airport Parameters'!$A:$J,10,FALSE)</f>
        <v>17215315</v>
      </c>
      <c r="H56" s="5">
        <f>VLOOKUP(B56,'Airport Parameters'!$A:$J,10,FALSE)</f>
        <v>84463000</v>
      </c>
      <c r="I56" s="5"/>
      <c r="J56" s="5"/>
      <c r="K56" s="4"/>
    </row>
    <row r="57" spans="1:11" ht="24" x14ac:dyDescent="0.4">
      <c r="A57" s="5" t="s">
        <v>186</v>
      </c>
      <c r="B57" s="5" t="s">
        <v>254</v>
      </c>
      <c r="C57" s="5">
        <v>348</v>
      </c>
      <c r="D57" s="5">
        <f>IFERROR(2*3440.065*ASIN(SQRT(SIN(RADIANS(VLOOKUP($B57,'Airport Parameters'!$A:$D,3,FALSE())-VLOOKUP($A57,'Airport Parameters'!$A:$D,3,FALSE()))/2)^2+COS(RADIANS(VLOOKUP($A57,'Airport Parameters'!$A:$D,3,FALSE())))*COS(RADIANS(VLOOKUP($B57,'Airport Parameters'!$A:$D,3,FALSE())))*SIN(RADIANS(VLOOKUP($B57,'Airport Parameters'!$A:$D,4,FALSE())-VLOOKUP($A57,'Airport Parameters'!$A:$D,4,FALSE()))/2)^2)),"")</f>
        <v>6375.6025560198295</v>
      </c>
      <c r="E57" s="5">
        <f>VLOOKUP(A57,'Airport Parameters'!$A:$G,7,FALSE)</f>
        <v>1742000</v>
      </c>
      <c r="F57" s="5">
        <f>VLOOKUP(B57,'Airport Parameters'!$A:$G,7,FALSE)</f>
        <v>18169</v>
      </c>
      <c r="G57" s="5">
        <f>VLOOKUP(A57,'Airport Parameters'!$A:$J,10,FALSE)</f>
        <v>73709594</v>
      </c>
      <c r="H57" s="5">
        <f>VLOOKUP(B57,'Airport Parameters'!$A:$J,10,FALSE)</f>
        <v>1380000</v>
      </c>
      <c r="I57" s="5"/>
      <c r="J57" s="5"/>
      <c r="K57" s="4"/>
    </row>
    <row r="58" spans="1:11" ht="24" x14ac:dyDescent="0.4">
      <c r="A58" s="5" t="s">
        <v>118</v>
      </c>
      <c r="B58" s="5" t="s">
        <v>162</v>
      </c>
      <c r="C58" s="5">
        <v>285</v>
      </c>
      <c r="D58" s="5">
        <f>IFERROR(2*3440.065*ASIN(SQRT(SIN(RADIANS(VLOOKUP($B58,'Airport Parameters'!$A:$D,3,FALSE())-VLOOKUP($A58,'Airport Parameters'!$A:$D,3,FALSE()))/2)^2+COS(RADIANS(VLOOKUP($A58,'Airport Parameters'!$A:$D,3,FALSE())))*COS(RADIANS(VLOOKUP($B58,'Airport Parameters'!$A:$D,3,FALSE())))*SIN(RADIANS(VLOOKUP($B58,'Airport Parameters'!$A:$D,4,FALSE())-VLOOKUP($A58,'Airport Parameters'!$A:$D,4,FALSE()))/2)^2)),"")</f>
        <v>6452.497789693226</v>
      </c>
      <c r="E58" s="5">
        <f>VLOOKUP(A58,'Airport Parameters'!$A:$G,7,FALSE)</f>
        <v>3014</v>
      </c>
      <c r="F58" s="5">
        <f>VLOOKUP(B58,'Airport Parameters'!$A:$G,7,FALSE)</f>
        <v>972000</v>
      </c>
      <c r="G58" s="5">
        <f>VLOOKUP(A58,'Airport Parameters'!$A:$J,10,FALSE)</f>
        <v>53896</v>
      </c>
      <c r="H58" s="5">
        <f>VLOOKUP(B58,'Airport Parameters'!$A:$J,10,FALSE)</f>
        <v>62629455</v>
      </c>
      <c r="I58" s="5"/>
      <c r="J58" s="5"/>
      <c r="K58" s="4"/>
    </row>
    <row r="59" spans="1:11" ht="24" x14ac:dyDescent="0.4">
      <c r="A59" s="5" t="s">
        <v>43</v>
      </c>
      <c r="B59" s="5" t="s">
        <v>105</v>
      </c>
      <c r="C59" s="5">
        <v>586</v>
      </c>
      <c r="D59" s="5">
        <f>IFERROR(2*3440.065*ASIN(SQRT(SIN(RADIANS(VLOOKUP($B59,'Airport Parameters'!$A:$D,3,FALSE())-VLOOKUP($A59,'Airport Parameters'!$A:$D,3,FALSE()))/2)^2+COS(RADIANS(VLOOKUP($A59,'Airport Parameters'!$A:$D,3,FALSE())))*COS(RADIANS(VLOOKUP($B59,'Airport Parameters'!$A:$D,3,FALSE())))*SIN(RADIANS(VLOOKUP($B59,'Airport Parameters'!$A:$D,4,FALSE())-VLOOKUP($A59,'Airport Parameters'!$A:$D,4,FALSE()))/2)^2)),"")</f>
        <v>6560.8286757737751</v>
      </c>
      <c r="E59" s="5">
        <f>VLOOKUP(A59,'Airport Parameters'!$A:$G,7,FALSE)</f>
        <v>83789</v>
      </c>
      <c r="F59" s="5">
        <f>VLOOKUP(B59,'Airport Parameters'!$A:$G,7,FALSE)</f>
        <v>239170</v>
      </c>
      <c r="G59" s="5">
        <f>VLOOKUP(A59,'Airport Parameters'!$A:$J,10,FALSE)</f>
        <v>2915052</v>
      </c>
      <c r="H59" s="5">
        <f>VLOOKUP(B59,'Airport Parameters'!$A:$J,10,FALSE)</f>
        <v>3838968</v>
      </c>
      <c r="I59" s="5"/>
      <c r="J59" s="5"/>
      <c r="K59" s="4"/>
    </row>
    <row r="60" spans="1:11" ht="24" x14ac:dyDescent="0.4">
      <c r="A60" s="5" t="s">
        <v>73</v>
      </c>
      <c r="B60" s="5" t="s">
        <v>186</v>
      </c>
      <c r="C60" s="5">
        <v>677</v>
      </c>
      <c r="D60" s="5">
        <f>IFERROR(2*3440.065*ASIN(SQRT(SIN(RADIANS(VLOOKUP($B60,'Airport Parameters'!$A:$D,3,FALSE())-VLOOKUP($A60,'Airport Parameters'!$A:$D,3,FALSE()))/2)^2+COS(RADIANS(VLOOKUP($A60,'Airport Parameters'!$A:$D,3,FALSE())))*COS(RADIANS(VLOOKUP($B60,'Airport Parameters'!$A:$D,3,FALSE())))*SIN(RADIANS(VLOOKUP($B60,'Airport Parameters'!$A:$D,4,FALSE())-VLOOKUP($A60,'Airport Parameters'!$A:$D,4,FALSE()))/2)^2)),"")</f>
        <v>6988.6437776551738</v>
      </c>
      <c r="E60" s="5">
        <f>VLOOKUP(A60,'Airport Parameters'!$A:$G,7,FALSE)</f>
        <v>150889</v>
      </c>
      <c r="F60" s="5">
        <f>VLOOKUP(B60,'Airport Parameters'!$A:$G,7,FALSE)</f>
        <v>1742000</v>
      </c>
      <c r="G60" s="5">
        <f>VLOOKUP(A60,'Airport Parameters'!$A:$J,10,FALSE)</f>
        <v>9082071</v>
      </c>
      <c r="H60" s="5">
        <f>VLOOKUP(B60,'Airport Parameters'!$A:$J,10,FALSE)</f>
        <v>73709594</v>
      </c>
      <c r="I60" s="5"/>
      <c r="J60" s="5"/>
      <c r="K60" s="4"/>
    </row>
    <row r="61" spans="1:11" ht="24" x14ac:dyDescent="0.4">
      <c r="A61" s="5" t="s">
        <v>105</v>
      </c>
      <c r="B61" s="5" t="s">
        <v>226</v>
      </c>
      <c r="C61" s="5">
        <v>358</v>
      </c>
      <c r="D61" s="5">
        <f>IFERROR(2*3440.065*ASIN(SQRT(SIN(RADIANS(VLOOKUP($B61,'Airport Parameters'!$A:$D,3,FALSE())-VLOOKUP($A61,'Airport Parameters'!$A:$D,3,FALSE()))/2)^2+COS(RADIANS(VLOOKUP($A61,'Airport Parameters'!$A:$D,3,FALSE())))*COS(RADIANS(VLOOKUP($B61,'Airport Parameters'!$A:$D,3,FALSE())))*SIN(RADIANS(VLOOKUP($B61,'Airport Parameters'!$A:$D,4,FALSE())-VLOOKUP($A61,'Airport Parameters'!$A:$D,4,FALSE()))/2)^2)),"")</f>
        <v>7139.1642562470861</v>
      </c>
      <c r="E61" s="5">
        <f>VLOOKUP(A61,'Airport Parameters'!$A:$G,7,FALSE)</f>
        <v>239170</v>
      </c>
      <c r="F61" s="5">
        <f>VLOOKUP(B61,'Airport Parameters'!$A:$G,7,FALSE)</f>
        <v>77738</v>
      </c>
      <c r="G61" s="5">
        <f>VLOOKUP(A61,'Airport Parameters'!$A:$J,10,FALSE)</f>
        <v>3838968</v>
      </c>
      <c r="H61" s="5">
        <f>VLOOKUP(B61,'Airport Parameters'!$A:$J,10,FALSE)</f>
        <v>181659</v>
      </c>
      <c r="I61" s="5"/>
      <c r="J61" s="5"/>
      <c r="K61" s="4"/>
    </row>
    <row r="62" spans="1:11" ht="24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24" x14ac:dyDescent="0.4">
      <c r="A63" s="6" t="s">
        <v>282</v>
      </c>
      <c r="B63" s="4" t="str">
        <f>COUNTA(C2:C61)&amp;" / 60"</f>
        <v>60 / 60</v>
      </c>
      <c r="C63" s="4"/>
      <c r="D63" s="4"/>
      <c r="E63" s="4"/>
      <c r="F63" s="4"/>
      <c r="G63" s="4"/>
      <c r="H63" s="4"/>
      <c r="I63" s="4"/>
      <c r="J63" s="4"/>
      <c r="K63" s="4"/>
    </row>
    <row r="64" spans="1:11" ht="24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24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24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24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24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24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24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24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24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24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24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24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24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24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24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24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24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24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C9BB-1B3F-5441-A902-456B5E028C47}">
  <dimension ref="A1:AE29"/>
  <sheetViews>
    <sheetView topLeftCell="K1" zoomScale="150" workbookViewId="0">
      <selection activeCell="AL12" sqref="AL12"/>
    </sheetView>
  </sheetViews>
  <sheetFormatPr baseColWidth="10" defaultRowHeight="15" x14ac:dyDescent="0.2"/>
  <cols>
    <col min="1" max="1" width="20.6640625" style="15" bestFit="1" customWidth="1"/>
    <col min="2" max="2" width="9.1640625" style="15" bestFit="1" customWidth="1"/>
    <col min="3" max="3" width="13.6640625" style="15" bestFit="1" customWidth="1"/>
    <col min="4" max="4" width="7.6640625" bestFit="1" customWidth="1"/>
    <col min="6" max="6" width="20.6640625" bestFit="1" customWidth="1"/>
    <col min="7" max="7" width="9.1640625" bestFit="1" customWidth="1"/>
    <col min="8" max="8" width="13.6640625" style="15" bestFit="1" customWidth="1"/>
    <col min="9" max="9" width="6.6640625" bestFit="1" customWidth="1"/>
  </cols>
  <sheetData>
    <row r="1" spans="1:31" ht="29" x14ac:dyDescent="0.2">
      <c r="A1" s="25" t="s">
        <v>305</v>
      </c>
      <c r="B1" s="26"/>
      <c r="C1" s="26"/>
      <c r="D1" s="26"/>
      <c r="F1" s="25" t="s">
        <v>315</v>
      </c>
      <c r="G1" s="26"/>
      <c r="H1" s="26"/>
      <c r="I1" s="26"/>
      <c r="L1" t="s">
        <v>324</v>
      </c>
      <c r="X1" t="s">
        <v>296</v>
      </c>
      <c r="Y1" t="s">
        <v>327</v>
      </c>
      <c r="Z1" t="s">
        <v>182</v>
      </c>
      <c r="AA1" t="s">
        <v>112</v>
      </c>
      <c r="AB1" t="s">
        <v>61</v>
      </c>
      <c r="AC1" t="s">
        <v>87</v>
      </c>
      <c r="AD1" t="s">
        <v>194</v>
      </c>
      <c r="AE1" t="s">
        <v>79</v>
      </c>
    </row>
    <row r="2" spans="1:31" ht="29" x14ac:dyDescent="0.45">
      <c r="A2" s="13" t="s">
        <v>289</v>
      </c>
      <c r="B2" s="12" t="s">
        <v>290</v>
      </c>
      <c r="C2" s="13" t="s">
        <v>306</v>
      </c>
      <c r="D2" s="12" t="s">
        <v>290</v>
      </c>
      <c r="F2" s="13" t="s">
        <v>289</v>
      </c>
      <c r="G2" s="12" t="s">
        <v>290</v>
      </c>
      <c r="H2" s="13" t="s">
        <v>306</v>
      </c>
      <c r="I2" s="12" t="s">
        <v>290</v>
      </c>
      <c r="X2">
        <v>0</v>
      </c>
      <c r="Y2">
        <v>1</v>
      </c>
      <c r="Z2">
        <v>35</v>
      </c>
      <c r="AA2">
        <v>53</v>
      </c>
      <c r="AB2">
        <v>15</v>
      </c>
      <c r="AC2">
        <v>6</v>
      </c>
      <c r="AD2">
        <v>58</v>
      </c>
      <c r="AE2">
        <v>47</v>
      </c>
    </row>
    <row r="3" spans="1:31" ht="24" x14ac:dyDescent="0.4">
      <c r="A3" s="16" t="s">
        <v>307</v>
      </c>
      <c r="B3" s="28">
        <v>0.75090999999999997</v>
      </c>
      <c r="C3" s="14" t="s">
        <v>294</v>
      </c>
      <c r="D3" s="29" t="s">
        <v>294</v>
      </c>
      <c r="F3" s="16" t="s">
        <v>307</v>
      </c>
      <c r="G3" s="14">
        <v>0.74531999999999998</v>
      </c>
      <c r="H3" s="14" t="s">
        <v>294</v>
      </c>
      <c r="I3" s="29" t="s">
        <v>294</v>
      </c>
      <c r="X3">
        <v>0.2</v>
      </c>
      <c r="Y3">
        <v>0.91249999999999998</v>
      </c>
      <c r="Z3">
        <v>14</v>
      </c>
      <c r="AA3">
        <v>21</v>
      </c>
      <c r="AB3">
        <v>4</v>
      </c>
      <c r="AC3">
        <v>1</v>
      </c>
      <c r="AD3">
        <v>29</v>
      </c>
      <c r="AE3">
        <v>17</v>
      </c>
    </row>
    <row r="4" spans="1:31" ht="24" x14ac:dyDescent="0.4">
      <c r="A4" s="16" t="s">
        <v>308</v>
      </c>
      <c r="B4" s="28">
        <v>0.256936</v>
      </c>
      <c r="C4" s="14" t="s">
        <v>294</v>
      </c>
      <c r="D4" s="29" t="s">
        <v>294</v>
      </c>
      <c r="F4" s="16" t="s">
        <v>308</v>
      </c>
      <c r="G4" s="14">
        <v>0.25751400000000002</v>
      </c>
      <c r="H4" s="14" t="s">
        <v>294</v>
      </c>
      <c r="I4" s="29" t="s">
        <v>294</v>
      </c>
      <c r="X4">
        <v>0.4</v>
      </c>
      <c r="Y4">
        <v>0.69359999999999999</v>
      </c>
      <c r="Z4">
        <v>9</v>
      </c>
      <c r="AA4">
        <v>8</v>
      </c>
      <c r="AB4">
        <v>2</v>
      </c>
      <c r="AC4">
        <v>1</v>
      </c>
      <c r="AD4">
        <v>14</v>
      </c>
      <c r="AE4">
        <v>7</v>
      </c>
    </row>
    <row r="5" spans="1:31" ht="24" x14ac:dyDescent="0.4">
      <c r="A5" s="16" t="s">
        <v>291</v>
      </c>
      <c r="B5" s="28">
        <v>3.4209934</v>
      </c>
      <c r="C5" s="27" t="s">
        <v>295</v>
      </c>
      <c r="D5" s="30">
        <f>EXP(B5)</f>
        <v>30.599797766543222</v>
      </c>
      <c r="F5" s="16" t="s">
        <v>291</v>
      </c>
      <c r="G5" s="14">
        <v>3.6308764999999998</v>
      </c>
      <c r="H5" s="27" t="s">
        <v>295</v>
      </c>
      <c r="I5" s="30">
        <f>EXP(G5)</f>
        <v>37.745886391658203</v>
      </c>
      <c r="X5">
        <v>0.6</v>
      </c>
      <c r="Y5">
        <v>0.45350000000000001</v>
      </c>
      <c r="Z5">
        <v>5</v>
      </c>
      <c r="AA5">
        <v>3</v>
      </c>
      <c r="AB5">
        <v>1</v>
      </c>
      <c r="AC5">
        <v>2</v>
      </c>
      <c r="AD5">
        <v>10</v>
      </c>
      <c r="AE5">
        <v>4</v>
      </c>
    </row>
    <row r="6" spans="1:31" ht="24" x14ac:dyDescent="0.4">
      <c r="A6" s="16" t="s">
        <v>309</v>
      </c>
      <c r="B6" s="14" t="s">
        <v>293</v>
      </c>
      <c r="C6" s="14" t="s">
        <v>294</v>
      </c>
      <c r="D6" s="29" t="s">
        <v>294</v>
      </c>
      <c r="F6" s="16" t="s">
        <v>309</v>
      </c>
      <c r="G6" s="14" t="s">
        <v>293</v>
      </c>
      <c r="H6" s="14" t="s">
        <v>294</v>
      </c>
      <c r="I6" s="29" t="s">
        <v>294</v>
      </c>
      <c r="X6">
        <v>0.8</v>
      </c>
      <c r="Y6">
        <v>0.1857</v>
      </c>
      <c r="Z6">
        <v>6</v>
      </c>
      <c r="AA6">
        <v>1</v>
      </c>
      <c r="AB6">
        <v>2</v>
      </c>
      <c r="AC6">
        <v>4</v>
      </c>
      <c r="AD6">
        <v>7</v>
      </c>
      <c r="AE6">
        <v>3</v>
      </c>
    </row>
    <row r="7" spans="1:31" ht="24" x14ac:dyDescent="0.4">
      <c r="A7" s="16" t="s">
        <v>292</v>
      </c>
      <c r="B7" s="28">
        <v>4.59076E-2</v>
      </c>
      <c r="C7" s="27" t="s">
        <v>296</v>
      </c>
      <c r="D7" s="30">
        <f>-B7</f>
        <v>-4.59076E-2</v>
      </c>
      <c r="F7" s="16" t="s">
        <v>312</v>
      </c>
      <c r="G7" s="14">
        <v>0.1166132</v>
      </c>
      <c r="H7" s="14" t="s">
        <v>322</v>
      </c>
      <c r="I7" s="30">
        <f>G7</f>
        <v>0.1166132</v>
      </c>
      <c r="X7">
        <v>1</v>
      </c>
      <c r="Y7">
        <v>-4.19E-2</v>
      </c>
      <c r="Z7">
        <v>9</v>
      </c>
      <c r="AA7">
        <v>1</v>
      </c>
      <c r="AB7">
        <v>3</v>
      </c>
      <c r="AC7">
        <v>8</v>
      </c>
      <c r="AD7">
        <v>7</v>
      </c>
      <c r="AE7">
        <v>2</v>
      </c>
    </row>
    <row r="8" spans="1:31" ht="24" x14ac:dyDescent="0.4">
      <c r="A8" s="16" t="s">
        <v>310</v>
      </c>
      <c r="B8" s="14">
        <v>0.2671</v>
      </c>
      <c r="C8" s="14" t="s">
        <v>294</v>
      </c>
      <c r="D8" s="29" t="s">
        <v>294</v>
      </c>
      <c r="F8" s="24" t="s">
        <v>311</v>
      </c>
      <c r="G8" s="14" t="s">
        <v>293</v>
      </c>
      <c r="H8" s="14" t="s">
        <v>294</v>
      </c>
      <c r="I8" s="29" t="s">
        <v>294</v>
      </c>
      <c r="X8">
        <v>1.2</v>
      </c>
      <c r="Y8">
        <v>-0.182</v>
      </c>
      <c r="Z8">
        <v>11</v>
      </c>
      <c r="AA8">
        <v>1</v>
      </c>
      <c r="AB8">
        <v>3</v>
      </c>
      <c r="AC8">
        <v>17</v>
      </c>
      <c r="AD8">
        <v>8</v>
      </c>
      <c r="AE8">
        <v>2</v>
      </c>
    </row>
    <row r="9" spans="1:31" ht="24" x14ac:dyDescent="0.4">
      <c r="A9" s="16" t="s">
        <v>312</v>
      </c>
      <c r="B9" s="28">
        <v>0.11180900000000001</v>
      </c>
      <c r="C9" s="14" t="s">
        <v>322</v>
      </c>
      <c r="D9" s="30">
        <f>B9</f>
        <v>0.11180900000000001</v>
      </c>
      <c r="F9" s="16" t="s">
        <v>313</v>
      </c>
      <c r="G9" s="14">
        <v>0.1017242</v>
      </c>
      <c r="H9" s="14" t="s">
        <v>323</v>
      </c>
      <c r="I9" s="30">
        <f>G9</f>
        <v>0.1017242</v>
      </c>
      <c r="X9">
        <v>1.4</v>
      </c>
      <c r="Y9">
        <v>-0.26889999999999997</v>
      </c>
      <c r="Z9">
        <v>19</v>
      </c>
      <c r="AA9">
        <v>1</v>
      </c>
      <c r="AB9">
        <v>12</v>
      </c>
      <c r="AC9">
        <v>23</v>
      </c>
      <c r="AD9">
        <v>16</v>
      </c>
      <c r="AE9">
        <v>2</v>
      </c>
    </row>
    <row r="10" spans="1:31" ht="24" x14ac:dyDescent="0.4">
      <c r="A10" s="24" t="s">
        <v>311</v>
      </c>
      <c r="B10" s="14" t="s">
        <v>293</v>
      </c>
      <c r="C10" s="14" t="s">
        <v>294</v>
      </c>
      <c r="D10" s="29" t="s">
        <v>294</v>
      </c>
      <c r="F10" s="24" t="s">
        <v>314</v>
      </c>
      <c r="G10" s="14" t="s">
        <v>293</v>
      </c>
      <c r="H10" s="14" t="s">
        <v>294</v>
      </c>
      <c r="I10" s="29" t="s">
        <v>294</v>
      </c>
    </row>
    <row r="11" spans="1:31" ht="24" x14ac:dyDescent="0.4">
      <c r="A11" s="16" t="s">
        <v>313</v>
      </c>
      <c r="B11" s="28">
        <v>9.4799499999999995E-2</v>
      </c>
      <c r="C11" s="14" t="s">
        <v>323</v>
      </c>
      <c r="D11" s="31">
        <f>B11</f>
        <v>9.4799499999999995E-2</v>
      </c>
      <c r="F11" s="16"/>
      <c r="G11" s="14"/>
      <c r="H11" s="14"/>
      <c r="I11" s="4"/>
    </row>
    <row r="12" spans="1:31" ht="24" x14ac:dyDescent="0.4">
      <c r="A12" s="24" t="s">
        <v>314</v>
      </c>
      <c r="B12" s="14" t="s">
        <v>293</v>
      </c>
      <c r="C12" s="14" t="s">
        <v>294</v>
      </c>
      <c r="D12" s="29" t="s">
        <v>294</v>
      </c>
      <c r="F12" s="24"/>
      <c r="G12" s="14"/>
      <c r="H12" s="14"/>
      <c r="I12" s="4"/>
    </row>
    <row r="13" spans="1:31" ht="24" x14ac:dyDescent="0.4">
      <c r="A13" s="14"/>
      <c r="B13" s="14"/>
      <c r="C13" s="14"/>
    </row>
    <row r="14" spans="1:31" ht="29" x14ac:dyDescent="0.2">
      <c r="A14" s="25" t="s">
        <v>316</v>
      </c>
      <c r="B14" s="26"/>
      <c r="C14" s="26"/>
      <c r="D14" s="26"/>
      <c r="F14" s="25" t="s">
        <v>321</v>
      </c>
      <c r="G14" s="26"/>
      <c r="H14" s="26"/>
      <c r="I14" s="26"/>
      <c r="L14" t="s">
        <v>325</v>
      </c>
    </row>
    <row r="15" spans="1:31" ht="29" x14ac:dyDescent="0.45">
      <c r="A15" s="13" t="s">
        <v>289</v>
      </c>
      <c r="B15" s="12" t="s">
        <v>290</v>
      </c>
      <c r="C15" s="13" t="s">
        <v>306</v>
      </c>
      <c r="D15" s="12" t="s">
        <v>290</v>
      </c>
      <c r="F15" s="13" t="s">
        <v>289</v>
      </c>
      <c r="G15" s="12" t="s">
        <v>290</v>
      </c>
      <c r="H15" s="13" t="s">
        <v>306</v>
      </c>
      <c r="I15" s="12" t="s">
        <v>290</v>
      </c>
    </row>
    <row r="16" spans="1:31" ht="24" x14ac:dyDescent="0.4">
      <c r="A16" s="16" t="s">
        <v>307</v>
      </c>
      <c r="B16" s="14">
        <v>0.81733299999999998</v>
      </c>
      <c r="C16" s="14" t="s">
        <v>294</v>
      </c>
      <c r="D16" s="29" t="s">
        <v>294</v>
      </c>
      <c r="F16" s="16" t="s">
        <v>307</v>
      </c>
      <c r="G16" s="14">
        <v>0.81625400000000004</v>
      </c>
      <c r="H16" s="14" t="s">
        <v>294</v>
      </c>
      <c r="I16" s="29" t="s">
        <v>294</v>
      </c>
    </row>
    <row r="17" spans="1:12" ht="24" x14ac:dyDescent="0.4">
      <c r="A17" s="16" t="s">
        <v>308</v>
      </c>
      <c r="B17" s="14">
        <v>0.220028</v>
      </c>
      <c r="C17" s="14" t="s">
        <v>294</v>
      </c>
      <c r="D17" s="29" t="s">
        <v>294</v>
      </c>
      <c r="F17" s="16" t="s">
        <v>308</v>
      </c>
      <c r="G17" s="14">
        <v>0.21873200000000001</v>
      </c>
      <c r="H17" s="14" t="s">
        <v>294</v>
      </c>
      <c r="I17" s="29" t="s">
        <v>294</v>
      </c>
    </row>
    <row r="18" spans="1:12" ht="24" x14ac:dyDescent="0.4">
      <c r="A18" s="16" t="s">
        <v>291</v>
      </c>
      <c r="B18" s="14">
        <v>2.2484517999999998</v>
      </c>
      <c r="C18" s="27" t="s">
        <v>295</v>
      </c>
      <c r="D18" s="30">
        <f>EXP(B18)</f>
        <v>9.4730582885581711</v>
      </c>
      <c r="F18" s="16" t="s">
        <v>291</v>
      </c>
      <c r="G18" s="14">
        <v>2.3093021999999999</v>
      </c>
      <c r="H18" s="27" t="s">
        <v>295</v>
      </c>
      <c r="I18" s="30">
        <f>EXP(G18)</f>
        <v>10.067397173662714</v>
      </c>
    </row>
    <row r="19" spans="1:12" ht="24" x14ac:dyDescent="0.4">
      <c r="A19" s="16" t="s">
        <v>309</v>
      </c>
      <c r="B19" s="14" t="s">
        <v>293</v>
      </c>
      <c r="C19" s="14" t="s">
        <v>294</v>
      </c>
      <c r="D19" s="29" t="s">
        <v>294</v>
      </c>
      <c r="F19" s="16" t="s">
        <v>309</v>
      </c>
      <c r="G19" s="14" t="s">
        <v>293</v>
      </c>
      <c r="H19" s="14" t="s">
        <v>294</v>
      </c>
      <c r="I19" s="29" t="s">
        <v>294</v>
      </c>
    </row>
    <row r="20" spans="1:12" ht="24" x14ac:dyDescent="0.4">
      <c r="A20" s="16" t="s">
        <v>292</v>
      </c>
      <c r="B20" s="14">
        <v>2.0388199999999999E-2</v>
      </c>
      <c r="C20" s="27" t="s">
        <v>296</v>
      </c>
      <c r="D20" s="29">
        <f>-B20</f>
        <v>-2.0388199999999999E-2</v>
      </c>
      <c r="F20" s="16" t="s">
        <v>317</v>
      </c>
      <c r="G20" s="14">
        <v>0.12391099999999999</v>
      </c>
      <c r="H20" s="14" t="s">
        <v>322</v>
      </c>
      <c r="I20" s="30">
        <f>G20</f>
        <v>0.12391099999999999</v>
      </c>
    </row>
    <row r="21" spans="1:12" ht="24" x14ac:dyDescent="0.4">
      <c r="A21" s="16" t="s">
        <v>310</v>
      </c>
      <c r="B21" s="14">
        <v>0.56759999999999999</v>
      </c>
      <c r="C21" s="14" t="s">
        <v>294</v>
      </c>
      <c r="D21" s="29" t="s">
        <v>294</v>
      </c>
      <c r="F21" s="24" t="s">
        <v>318</v>
      </c>
      <c r="G21" s="14" t="s">
        <v>293</v>
      </c>
      <c r="H21" s="14" t="s">
        <v>294</v>
      </c>
      <c r="I21" s="29" t="s">
        <v>294</v>
      </c>
    </row>
    <row r="22" spans="1:12" ht="24" x14ac:dyDescent="0.4">
      <c r="A22" s="16" t="s">
        <v>317</v>
      </c>
      <c r="B22" s="14">
        <v>0.1215241</v>
      </c>
      <c r="C22" s="14" t="s">
        <v>322</v>
      </c>
      <c r="D22" s="30">
        <f>B22</f>
        <v>0.1215241</v>
      </c>
      <c r="F22" s="16" t="s">
        <v>319</v>
      </c>
      <c r="G22" s="14">
        <v>0.1245906</v>
      </c>
      <c r="H22" s="14" t="s">
        <v>323</v>
      </c>
      <c r="I22" s="30">
        <f>G22</f>
        <v>0.1245906</v>
      </c>
    </row>
    <row r="23" spans="1:12" ht="24" x14ac:dyDescent="0.4">
      <c r="A23" s="24" t="s">
        <v>318</v>
      </c>
      <c r="B23" s="14" t="s">
        <v>293</v>
      </c>
      <c r="C23" s="14" t="s">
        <v>294</v>
      </c>
      <c r="D23" s="29" t="s">
        <v>294</v>
      </c>
      <c r="F23" s="24" t="s">
        <v>320</v>
      </c>
      <c r="G23" s="14" t="s">
        <v>293</v>
      </c>
      <c r="H23" s="14" t="s">
        <v>294</v>
      </c>
      <c r="I23" s="29" t="s">
        <v>294</v>
      </c>
    </row>
    <row r="24" spans="1:12" ht="24" x14ac:dyDescent="0.4">
      <c r="A24" s="16" t="s">
        <v>319</v>
      </c>
      <c r="B24" s="14">
        <v>0.12099849999999999</v>
      </c>
      <c r="C24" s="14" t="s">
        <v>323</v>
      </c>
      <c r="D24" s="30">
        <f>B24</f>
        <v>0.12099849999999999</v>
      </c>
      <c r="I24" s="4"/>
    </row>
    <row r="25" spans="1:12" ht="24" x14ac:dyDescent="0.4">
      <c r="A25" s="24" t="s">
        <v>320</v>
      </c>
      <c r="B25" s="14" t="s">
        <v>293</v>
      </c>
      <c r="C25" s="14" t="s">
        <v>294</v>
      </c>
      <c r="D25" s="29" t="s">
        <v>294</v>
      </c>
    </row>
    <row r="26" spans="1:12" ht="24" x14ac:dyDescent="0.4">
      <c r="A26" s="14"/>
      <c r="B26" s="14"/>
      <c r="C26" s="14"/>
    </row>
    <row r="27" spans="1:12" ht="24" x14ac:dyDescent="0.4">
      <c r="A27" s="14"/>
      <c r="B27" s="14"/>
      <c r="C27" s="14"/>
    </row>
    <row r="28" spans="1:12" ht="24" x14ac:dyDescent="0.4">
      <c r="A28" s="14"/>
      <c r="B28" s="14"/>
      <c r="C28" s="14"/>
    </row>
    <row r="29" spans="1:12" ht="24" x14ac:dyDescent="0.4">
      <c r="A29" s="14"/>
      <c r="B29" s="14"/>
      <c r="C29" s="14"/>
      <c r="L29" t="s">
        <v>326</v>
      </c>
    </row>
  </sheetData>
  <mergeCells count="4">
    <mergeCell ref="A1:D1"/>
    <mergeCell ref="F1:I1"/>
    <mergeCell ref="A14:D14"/>
    <mergeCell ref="F14:I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Airport Parameters</vt:lpstr>
      <vt:lpstr>Calibration Routes</vt:lpstr>
      <vt:lpstr>JMP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Williams, Mayon</cp:lastModifiedBy>
  <cp:revision>0</cp:revision>
  <dcterms:created xsi:type="dcterms:W3CDTF">2026-06-26T18:19:18Z</dcterms:created>
  <dcterms:modified xsi:type="dcterms:W3CDTF">2026-08-04T22:17:41Z</dcterms:modified>
  <dc:language>en-US</dc:language>
</cp:coreProperties>
</file>