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mayonwilliams/Downloads/"/>
    </mc:Choice>
  </mc:AlternateContent>
  <xr:revisionPtr revIDLastSave="0" documentId="8_{50A99193-576F-BD41-B9E7-A140DA4FC341}" xr6:coauthVersionLast="47" xr6:coauthVersionMax="47" xr10:uidLastSave="{00000000-0000-0000-0000-000000000000}"/>
  <bookViews>
    <workbookView xWindow="160" yWindow="920" windowWidth="30080" windowHeight="17740" tabRatio="500" activeTab="1" xr2:uid="{00000000-000D-0000-FFFF-FFFF00000000}"/>
  </bookViews>
  <sheets>
    <sheet name="Instructions" sheetId="1" r:id="rId1"/>
    <sheet name="Airport Parameters" sheetId="2" r:id="rId2"/>
    <sheet name="Calibration Route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2" i="2"/>
  <c r="D6" i="4"/>
  <c r="D5" i="4"/>
  <c r="D4" i="4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31" i="2"/>
  <c r="G32" i="2"/>
  <c r="G33" i="2"/>
  <c r="G34" i="2"/>
  <c r="G35" i="2"/>
  <c r="G36" i="2"/>
  <c r="G37" i="2"/>
  <c r="G38" i="2"/>
  <c r="G39" i="2"/>
  <c r="G40" i="2"/>
  <c r="G41" i="2"/>
  <c r="G19" i="2"/>
  <c r="G20" i="2"/>
  <c r="G21" i="2"/>
  <c r="G22" i="2"/>
  <c r="G23" i="2"/>
  <c r="G24" i="2"/>
  <c r="G25" i="2"/>
  <c r="G26" i="2"/>
  <c r="G27" i="2"/>
  <c r="G28" i="2"/>
  <c r="G29" i="2"/>
  <c r="G12" i="2"/>
  <c r="G13" i="2"/>
  <c r="G14" i="2"/>
  <c r="G15" i="2"/>
  <c r="G16" i="2"/>
  <c r="G17" i="2"/>
  <c r="G18" i="2"/>
  <c r="G2" i="2"/>
  <c r="G3" i="2"/>
  <c r="G4" i="2"/>
  <c r="G5" i="2"/>
  <c r="G6" i="2"/>
  <c r="G7" i="2"/>
  <c r="G8" i="2"/>
  <c r="G9" i="2"/>
  <c r="G10" i="2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2" i="3"/>
  <c r="B63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18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132" i="2"/>
</calcChain>
</file>

<file path=xl/sharedStrings.xml><?xml version="1.0" encoding="utf-8"?>
<sst xmlns="http://schemas.openxmlformats.org/spreadsheetml/2006/main" count="440" uniqueCount="309">
  <si>
    <t>H3 (Pan-Himalayan) Network Centrality Project — Data Collection Guide (v3)</t>
  </si>
  <si>
    <t>SHEET: Airport Parameters</t>
  </si>
  <si>
    <t>All 129 airports H3 holds gates at are pre-filled (IATA, name, lat, lon — real</t>
  </si>
  <si>
    <t>coordinates, already joined). You only need to fill in:</t>
  </si>
  <si>
    <t xml:space="preserve">  H3 weekly pax — your own passengers per week at that destination.</t>
  </si>
  <si>
    <t xml:space="preserve">  H3 market share % — read off that airport's competitor list in-game.</t>
  </si>
  <si>
    <t xml:space="preserve">  Airport rank / Airport rank % — the in-game rank stat (secondary check only,</t>
  </si>
  <si>
    <t xml:space="preserve">    used to test the Zipf/power-law hunch, NOT the primary size term).</t>
  </si>
  <si>
    <t>Total weekly pax fills in automatically once the two columns above are entered.</t>
  </si>
  <si>
    <t>SHEET: Calibration Routes</t>
  </si>
  <si>
    <t>60 pairs are pre-selected for distance and size spread (using gate weekly cost as a</t>
  </si>
  <si>
    <t>size stand-in until real data exists) — only 1 pair touches KTM, deliberately, so</t>
  </si>
  <si>
    <t>the model doesn't just relearn H3's own hub-and-spoke shape. Just fill in the demand</t>
  </si>
  <si>
    <t>number from Route Research for each pair. Distance is already computed.</t>
  </si>
  <si>
    <t>IATA</t>
  </si>
  <si>
    <t>Airport name</t>
  </si>
  <si>
    <t>Lat</t>
  </si>
  <si>
    <t>Lon</t>
  </si>
  <si>
    <t>H3 weekly pax</t>
  </si>
  <si>
    <t>H3 market share %</t>
  </si>
  <si>
    <t>Total weekly pax (computed)</t>
  </si>
  <si>
    <t>Airport rank</t>
  </si>
  <si>
    <t>Airport rank %</t>
  </si>
  <si>
    <t>Date collected</t>
  </si>
  <si>
    <t>Notes</t>
  </si>
  <si>
    <t>ABZ</t>
  </si>
  <si>
    <t>Aberdeen International Airport</t>
  </si>
  <si>
    <t>AJL</t>
  </si>
  <si>
    <t>Lengpui Airport</t>
  </si>
  <si>
    <t>AKU</t>
  </si>
  <si>
    <t>Akesu Hongqipo Airport</t>
  </si>
  <si>
    <t>AKY</t>
  </si>
  <si>
    <t>Sittwe Airport</t>
  </si>
  <si>
    <t>ALA</t>
  </si>
  <si>
    <t>Almaty International Airport</t>
  </si>
  <si>
    <t>AMM</t>
  </si>
  <si>
    <t>Queen Alia International Airport</t>
  </si>
  <si>
    <t>ATL</t>
  </si>
  <si>
    <t>Hartsfield-Jackson Atlanta International Airport</t>
  </si>
  <si>
    <t>BBI</t>
  </si>
  <si>
    <t>Biju Patnaik Airport</t>
  </si>
  <si>
    <t>BEY</t>
  </si>
  <si>
    <t>Beirut–Rafic Hariri International Airport</t>
  </si>
  <si>
    <t>BGW</t>
  </si>
  <si>
    <t>Baghdad International Airport</t>
  </si>
  <si>
    <t>BHK</t>
  </si>
  <si>
    <t>Bukhara International Airport</t>
  </si>
  <si>
    <t>BKK</t>
  </si>
  <si>
    <t>Suvarnabhumi Airport</t>
  </si>
  <si>
    <t>BLR</t>
  </si>
  <si>
    <t>Kempegowda International Airport</t>
  </si>
  <si>
    <t>BOM</t>
  </si>
  <si>
    <t>Chhatrapati Shivaji Maharaj International Airport</t>
  </si>
  <si>
    <t>BPX</t>
  </si>
  <si>
    <t>Changdu Bamda Airport</t>
  </si>
  <si>
    <t>BSZ</t>
  </si>
  <si>
    <t>Manas International Airport</t>
  </si>
  <si>
    <t>BWA</t>
  </si>
  <si>
    <t>Gautam Buddha Airport</t>
  </si>
  <si>
    <t>CAN</t>
  </si>
  <si>
    <t>Guangzhou Baiyun International Airport</t>
  </si>
  <si>
    <t>CCU</t>
  </si>
  <si>
    <t>Netaji Subhas Chandra Bose International Airport</t>
  </si>
  <si>
    <t>CEI</t>
  </si>
  <si>
    <t>Mae Fah Luang - Chiang Rai International Airport</t>
  </si>
  <si>
    <t>CGK</t>
  </si>
  <si>
    <t>Soekarno–Hatta International Airport</t>
  </si>
  <si>
    <t>CGP</t>
  </si>
  <si>
    <t>Shah Amanat International Airport</t>
  </si>
  <si>
    <t>CJB</t>
  </si>
  <si>
    <t>Coimbatore International Airport</t>
  </si>
  <si>
    <t>CMB</t>
  </si>
  <si>
    <t>Bandaranaike International Airport</t>
  </si>
  <si>
    <t>CNX</t>
  </si>
  <si>
    <t>Chiang Mai International Airport</t>
  </si>
  <si>
    <t>CTU</t>
  </si>
  <si>
    <t>Chengdu Shuangliu International Airport</t>
  </si>
  <si>
    <t>CXB</t>
  </si>
  <si>
    <t>Cox's Bazar Airport</t>
  </si>
  <si>
    <t>DAC</t>
  </si>
  <si>
    <t>Hazrat Shahjalal International Airport</t>
  </si>
  <si>
    <t>DAM</t>
  </si>
  <si>
    <t>Damascus International Airport</t>
  </si>
  <si>
    <t>DCY</t>
  </si>
  <si>
    <t>Daocheng Yading Airport</t>
  </si>
  <si>
    <t>DED</t>
  </si>
  <si>
    <t>Dehradun Airport</t>
  </si>
  <si>
    <t>DEL</t>
  </si>
  <si>
    <t>Indira Gandhi International Airport</t>
  </si>
  <si>
    <t>DIB</t>
  </si>
  <si>
    <t>Dibrugarh Airport</t>
  </si>
  <si>
    <t>DIG</t>
  </si>
  <si>
    <t>Diqing Shangri-La Airport</t>
  </si>
  <si>
    <t>DLU</t>
  </si>
  <si>
    <t>Dali Fengyi Airport</t>
  </si>
  <si>
    <t>DMU</t>
  </si>
  <si>
    <t>Dimapur Airport</t>
  </si>
  <si>
    <t>DOH</t>
  </si>
  <si>
    <t>Hamad International Airport</t>
  </si>
  <si>
    <t>DXB</t>
  </si>
  <si>
    <t>Dubai International Airport</t>
  </si>
  <si>
    <t>DYU</t>
  </si>
  <si>
    <t>Dushanbe International Airport</t>
  </si>
  <si>
    <t>EDI</t>
  </si>
  <si>
    <t>Edinburgh Airport</t>
  </si>
  <si>
    <t>ELP</t>
  </si>
  <si>
    <t>El Paso International Airport</t>
  </si>
  <si>
    <t>ESB</t>
  </si>
  <si>
    <t>FAE</t>
  </si>
  <si>
    <t>Vágar Airport</t>
  </si>
  <si>
    <t>FNJ</t>
  </si>
  <si>
    <t>Pyongyang International Airport</t>
  </si>
  <si>
    <t>GAU</t>
  </si>
  <si>
    <t>Lokpriya Gopinath Bordoloi International Airport</t>
  </si>
  <si>
    <t>GOQ</t>
  </si>
  <si>
    <t>Golmud Airport</t>
  </si>
  <si>
    <t>GYD</t>
  </si>
  <si>
    <t>Baku Heydar Aliyev International Airport</t>
  </si>
  <si>
    <t>GZG</t>
  </si>
  <si>
    <t>Garze Gesar Airport</t>
  </si>
  <si>
    <t>HAN</t>
  </si>
  <si>
    <t>Nội Bài International Airport</t>
  </si>
  <si>
    <t>HGI</t>
  </si>
  <si>
    <t>Donyi Polo Airport, Itanagar</t>
  </si>
  <si>
    <t>HKG</t>
  </si>
  <si>
    <t>Hong Kong International Airport</t>
  </si>
  <si>
    <t>HKT</t>
  </si>
  <si>
    <t>Phuket International Airport</t>
  </si>
  <si>
    <t>HQL</t>
  </si>
  <si>
    <t>Tashkurgan Khunjerab Airport</t>
  </si>
  <si>
    <t>HTN</t>
  </si>
  <si>
    <t>Hetian Kungang Airport</t>
  </si>
  <si>
    <t>HYD</t>
  </si>
  <si>
    <t>Rajiv Gandhi International Airport</t>
  </si>
  <si>
    <t>ICN</t>
  </si>
  <si>
    <t>Incheon International Airport</t>
  </si>
  <si>
    <t>IKA</t>
  </si>
  <si>
    <t>Tehran Imam Khomeini International Airport</t>
  </si>
  <si>
    <t>IKU</t>
  </si>
  <si>
    <t>Issyk-Kul International Airport</t>
  </si>
  <si>
    <t>IMF</t>
  </si>
  <si>
    <t>Bir Tikendrajit International Airport</t>
  </si>
  <si>
    <t>INN</t>
  </si>
  <si>
    <t>Innsbruck Airport</t>
  </si>
  <si>
    <t>INV</t>
  </si>
  <si>
    <t>Inverness Airport</t>
  </si>
  <si>
    <t>ISB</t>
  </si>
  <si>
    <t>Islamabad International Airport</t>
  </si>
  <si>
    <t>IST</t>
  </si>
  <si>
    <t>Istanbul Airport</t>
  </si>
  <si>
    <t>IXA</t>
  </si>
  <si>
    <t>Maharaja Bir Bikram Airport</t>
  </si>
  <si>
    <t>IXB</t>
  </si>
  <si>
    <t>Bagdogra Airport</t>
  </si>
  <si>
    <t>IXI</t>
  </si>
  <si>
    <t>Lilabari Airport</t>
  </si>
  <si>
    <t>IXL</t>
  </si>
  <si>
    <t>Kushok Bakula Rimpochee Airport</t>
  </si>
  <si>
    <t>IXS</t>
  </si>
  <si>
    <t>Silchar Airport</t>
  </si>
  <si>
    <t>JED</t>
  </si>
  <si>
    <t>King Abdulaziz International Airport</t>
  </si>
  <si>
    <t>JFK</t>
  </si>
  <si>
    <t>John F. Kennedy International Airport</t>
  </si>
  <si>
    <t>JNB</t>
  </si>
  <si>
    <t>O. R. Tambo International Airport</t>
  </si>
  <si>
    <t>JRH</t>
  </si>
  <si>
    <t>Jorhat Airport</t>
  </si>
  <si>
    <t>KBL</t>
  </si>
  <si>
    <t>Kabul International Airport</t>
  </si>
  <si>
    <t>KDH</t>
  </si>
  <si>
    <t>Ahmad Shah Baba International Airport</t>
  </si>
  <si>
    <t>KDU</t>
  </si>
  <si>
    <t>Skardu International Airport</t>
  </si>
  <si>
    <t>KHG</t>
  </si>
  <si>
    <t>Kashi Laining International Airport</t>
  </si>
  <si>
    <t>KHI</t>
  </si>
  <si>
    <t>Jinnah International Airport</t>
  </si>
  <si>
    <t>KMG</t>
  </si>
  <si>
    <t>Kunming Changshui International Airport</t>
  </si>
  <si>
    <t>KTI</t>
  </si>
  <si>
    <t>Techo International Airport</t>
  </si>
  <si>
    <t>KTM</t>
  </si>
  <si>
    <t>Tribhuvan International Airport</t>
  </si>
  <si>
    <t>KUL</t>
  </si>
  <si>
    <t>Kuala Lumpur International Airport</t>
  </si>
  <si>
    <t>LAX</t>
  </si>
  <si>
    <t>Los Angeles International Airport</t>
  </si>
  <si>
    <t>LHE</t>
  </si>
  <si>
    <t>Allama Iqbal International Airport</t>
  </si>
  <si>
    <t>LHR</t>
  </si>
  <si>
    <t>Heathrow Airport</t>
  </si>
  <si>
    <t>LPQ</t>
  </si>
  <si>
    <t>Luang Prabang International Airport</t>
  </si>
  <si>
    <t>LXA</t>
  </si>
  <si>
    <t>Lhasa Gonggar Airport</t>
  </si>
  <si>
    <t>LYR</t>
  </si>
  <si>
    <t>Svalbard Airport</t>
  </si>
  <si>
    <t>LZY</t>
  </si>
  <si>
    <t>Nyingchi Mianling Airport</t>
  </si>
  <si>
    <t>MAA</t>
  </si>
  <si>
    <t>Chennai International Airport</t>
  </si>
  <si>
    <t>MCT</t>
  </si>
  <si>
    <t>Muscat International Airport</t>
  </si>
  <si>
    <t>MDL</t>
  </si>
  <si>
    <t>Mandalay International Airport</t>
  </si>
  <si>
    <t>MLE</t>
  </si>
  <si>
    <t>Velana International Airport</t>
  </si>
  <si>
    <t>MNL</t>
  </si>
  <si>
    <t>Ninoy Aquino International Airport</t>
  </si>
  <si>
    <t>MYT</t>
  </si>
  <si>
    <t>Myitkyina Airport</t>
  </si>
  <si>
    <t>NGQ</t>
  </si>
  <si>
    <t>Ali Kunsha Airport</t>
  </si>
  <si>
    <t>NMA</t>
  </si>
  <si>
    <t>Namangan Airport</t>
  </si>
  <si>
    <t>NQZ</t>
  </si>
  <si>
    <t>Nursultan Nazarbayev International Airport</t>
  </si>
  <si>
    <t>NRT</t>
  </si>
  <si>
    <t>Narita International Airport</t>
  </si>
  <si>
    <t>NUM</t>
  </si>
  <si>
    <t>Neom Airport</t>
  </si>
  <si>
    <t>NYT</t>
  </si>
  <si>
    <t>Nay Pyi Taw International Airport</t>
  </si>
  <si>
    <t>OSS</t>
  </si>
  <si>
    <t>Osh International Airport</t>
  </si>
  <si>
    <t>PBH</t>
  </si>
  <si>
    <t>Paro International Airport</t>
  </si>
  <si>
    <t>PEK</t>
  </si>
  <si>
    <t>Beijing Capital International Airport</t>
  </si>
  <si>
    <t>PEW</t>
  </si>
  <si>
    <t>Bacha Khan International Airport</t>
  </si>
  <si>
    <t>PHH</t>
  </si>
  <si>
    <t>Pokhara International Airport</t>
  </si>
  <si>
    <t>PVG</t>
  </si>
  <si>
    <t>Shanghai Pudong International Airport</t>
  </si>
  <si>
    <t>RGN</t>
  </si>
  <si>
    <t>Yangon International Airport</t>
  </si>
  <si>
    <t>RKZ</t>
  </si>
  <si>
    <t>Rikaze Peace Airport</t>
  </si>
  <si>
    <t>ROR</t>
  </si>
  <si>
    <t>Roman Tmetuchl International Airport</t>
  </si>
  <si>
    <t>RUH</t>
  </si>
  <si>
    <t>King Khalid International Airport</t>
  </si>
  <si>
    <t>RVN</t>
  </si>
  <si>
    <t>Rovaniemi Airport</t>
  </si>
  <si>
    <t>SAI</t>
  </si>
  <si>
    <t>Siem Reap–Angkor International Airport</t>
  </si>
  <si>
    <t>SGN</t>
  </si>
  <si>
    <t>Tân Sơn Nhất International Airport</t>
  </si>
  <si>
    <t>SHL</t>
  </si>
  <si>
    <t>Shillong Airport</t>
  </si>
  <si>
    <t>SIN</t>
  </si>
  <si>
    <t>Singapore Changi Airport</t>
  </si>
  <si>
    <t>SKD</t>
  </si>
  <si>
    <t>Samarkand International Airport</t>
  </si>
  <si>
    <t>SXR</t>
  </si>
  <si>
    <t>Srinagar Airport</t>
  </si>
  <si>
    <t>SYD</t>
  </si>
  <si>
    <t>Sydney (Kingsford Smith) Airport</t>
  </si>
  <si>
    <t>TAS</t>
  </si>
  <si>
    <t>Islam Karimov Tashkent International Airport</t>
  </si>
  <si>
    <t>TBS</t>
  </si>
  <si>
    <t>Shota Rustaveli Tbilisi International Airport</t>
  </si>
  <si>
    <t>TEZ</t>
  </si>
  <si>
    <t>Tezpur Airport</t>
  </si>
  <si>
    <t>TJU</t>
  </si>
  <si>
    <t>Kulob Airport</t>
  </si>
  <si>
    <t>TPE</t>
  </si>
  <si>
    <t>Taiwan Taoyuan International Airport</t>
  </si>
  <si>
    <t>TRV</t>
  </si>
  <si>
    <t>Thiruvananthapuram International Airport</t>
  </si>
  <si>
    <t>UBN</t>
  </si>
  <si>
    <t>Chinggis Khaan International Airport</t>
  </si>
  <si>
    <t>URC</t>
  </si>
  <si>
    <t>Ürümqi Diwopu International Airport</t>
  </si>
  <si>
    <t>VTE</t>
  </si>
  <si>
    <t>Wattay International Airport</t>
  </si>
  <si>
    <t>YUS</t>
  </si>
  <si>
    <t>Yushu Batang Airport</t>
  </si>
  <si>
    <t>ZYL</t>
  </si>
  <si>
    <t>Osmani International Airport</t>
  </si>
  <si>
    <t>Filled:</t>
  </si>
  <si>
    <t>Origin IATA</t>
  </si>
  <si>
    <t>Destination IATA</t>
  </si>
  <si>
    <t>Distance nm (computed)</t>
  </si>
  <si>
    <r>
      <t>Ankara Esenbo</t>
    </r>
    <r>
      <rPr>
        <sz val="12"/>
        <color theme="1"/>
        <rFont val="Microsoft Himalaya"/>
        <family val="4"/>
        <charset val="134"/>
      </rPr>
      <t>ğ</t>
    </r>
    <r>
      <rPr>
        <sz val="16"/>
        <color theme="1"/>
        <rFont val="Microsoft Himalaya"/>
        <family val="4"/>
        <charset val="134"/>
      </rPr>
      <t>a Airport</t>
    </r>
  </si>
  <si>
    <t>Max Pax per Flight</t>
  </si>
  <si>
    <t>Moderate competition for Y, Y+, low overall demanc</t>
  </si>
  <si>
    <t>Origin Size</t>
  </si>
  <si>
    <t>Destination Size</t>
  </si>
  <si>
    <t>Value</t>
  </si>
  <si>
    <t>Gravity Model</t>
  </si>
  <si>
    <t>Rsquare</t>
  </si>
  <si>
    <t>Intercept Estimate</t>
  </si>
  <si>
    <t>Raw Parameter</t>
  </si>
  <si>
    <t>GM Parameter</t>
  </si>
  <si>
    <t>Prob&gt;[t]_Intercept</t>
  </si>
  <si>
    <t>Log_Origin Estimate</t>
  </si>
  <si>
    <t>Log_Destination Estimate</t>
  </si>
  <si>
    <t>&lt;0.0001</t>
  </si>
  <si>
    <t>-</t>
  </si>
  <si>
    <t>C</t>
  </si>
  <si>
    <t>α_Origin</t>
  </si>
  <si>
    <t>α_Destination</t>
  </si>
  <si>
    <t>Shapiro-Wilk: W = 0.943126, Prob&lt;W = 0.0179</t>
  </si>
  <si>
    <t>Anderson-Darling: A^2 = 1.1452672, p-Value = 0.0048</t>
  </si>
  <si>
    <t>log(weeklyPax)</t>
  </si>
  <si>
    <t>log(Rank)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</si>
</sst>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6"/>
      <color theme="1"/>
      <name val="Microsoft Himalaya"/>
      <family val="4"/>
      <charset val="134"/>
    </font>
    <font>
      <b/>
      <sz val="16"/>
      <name val="Microsoft Himalaya"/>
      <family val="4"/>
      <charset val="134"/>
    </font>
    <font>
      <b/>
      <sz val="20"/>
      <color rgb="FFC7C9D3"/>
      <name val="Microsoft Himalaya"/>
      <family val="4"/>
      <charset val="134"/>
    </font>
    <font>
      <sz val="20"/>
      <color rgb="FFC7C9D3"/>
      <name val="Microsoft Himalaya"/>
      <family val="4"/>
      <charset val="134"/>
    </font>
    <font>
      <b/>
      <sz val="20"/>
      <color theme="1"/>
      <name val="Microsoft Himalaya"/>
      <family val="4"/>
      <charset val="134"/>
    </font>
    <font>
      <sz val="12"/>
      <color theme="1"/>
      <name val="Microsoft Himalaya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rgb="FF5B158A"/>
        <bgColor rgb="FF008080"/>
      </patternFill>
    </fill>
    <fill>
      <patternFill patternType="solid">
        <fgColor rgb="FF5B158A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wrapText="1"/>
    </xf>
    <xf numFmtId="0" fontId="8" fillId="0" borderId="0" xfId="0" applyFont="1"/>
    <xf numFmtId="20" fontId="4" fillId="0" borderId="1" xfId="0" applyNumberFormat="1" applyFont="1" applyBorder="1"/>
    <xf numFmtId="1" fontId="4" fillId="0" borderId="1" xfId="0" applyNumberFormat="1" applyFont="1" applyBorder="1"/>
    <xf numFmtId="0" fontId="7" fillId="3" borderId="0" xfId="0" applyFont="1" applyFill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7C9D3"/>
      <color rgb="FF5B15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zoomScaleNormal="100" workbookViewId="0">
      <selection activeCell="A5" sqref="A5"/>
    </sheetView>
  </sheetViews>
  <sheetFormatPr baseColWidth="10" defaultColWidth="8.6640625" defaultRowHeight="15" x14ac:dyDescent="0.2"/>
  <cols>
    <col min="1" max="1" width="10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ht="16" x14ac:dyDescent="0.2">
      <c r="A3" s="3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/>
    </row>
    <row r="12" spans="1:1" ht="16" x14ac:dyDescent="0.2">
      <c r="A12" s="3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 t="s">
        <v>12</v>
      </c>
    </row>
    <row r="16" spans="1:1" x14ac:dyDescent="0.2">
      <c r="A16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2"/>
  <sheetViews>
    <sheetView tabSelected="1" zoomScale="161" zoomScaleNormal="100" workbookViewId="0">
      <pane ySplit="1" topLeftCell="A2" activePane="bottomLeft" state="frozen"/>
      <selection pane="bottomLeft" activeCell="L125" sqref="L125"/>
    </sheetView>
  </sheetViews>
  <sheetFormatPr baseColWidth="10" defaultColWidth="8.6640625" defaultRowHeight="24" x14ac:dyDescent="0.4"/>
  <cols>
    <col min="1" max="1" width="10" style="4" customWidth="1"/>
    <col min="2" max="2" width="30" style="4" customWidth="1"/>
    <col min="3" max="3" width="10" style="4" customWidth="1"/>
    <col min="4" max="4" width="7.83203125" style="4" bestFit="1" customWidth="1"/>
    <col min="5" max="5" width="15" style="4" bestFit="1" customWidth="1"/>
    <col min="6" max="6" width="18.33203125" style="4" bestFit="1" customWidth="1"/>
    <col min="7" max="7" width="28.33203125" style="4" bestFit="1" customWidth="1"/>
    <col min="8" max="8" width="12.33203125" style="4" bestFit="1" customWidth="1"/>
    <col min="9" max="9" width="14.6640625" style="4" bestFit="1" customWidth="1"/>
    <col min="10" max="10" width="14.6640625" style="4" customWidth="1"/>
    <col min="11" max="11" width="15.5" style="4" bestFit="1" customWidth="1"/>
    <col min="12" max="12" width="14.33203125" style="4" bestFit="1" customWidth="1"/>
    <col min="13" max="13" width="29.6640625" style="4" customWidth="1"/>
    <col min="14" max="16384" width="8.6640625" style="4"/>
  </cols>
  <sheetData>
    <row r="1" spans="1:13" s="8" customFormat="1" ht="30" customHeight="1" x14ac:dyDescent="0.4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308</v>
      </c>
      <c r="K1" s="7" t="s">
        <v>307</v>
      </c>
      <c r="L1" s="7" t="s">
        <v>23</v>
      </c>
      <c r="M1" s="7" t="s">
        <v>24</v>
      </c>
    </row>
    <row r="2" spans="1:13" x14ac:dyDescent="0.4">
      <c r="A2" s="5" t="s">
        <v>25</v>
      </c>
      <c r="B2" s="5" t="s">
        <v>26</v>
      </c>
      <c r="C2" s="5">
        <v>57.201900000000002</v>
      </c>
      <c r="D2" s="5">
        <v>-2.1978</v>
      </c>
      <c r="E2" s="5">
        <v>704</v>
      </c>
      <c r="F2" s="5">
        <v>2.9</v>
      </c>
      <c r="G2" s="10">
        <f>ROUND(IF(F2=0,"",IF(F2="","",E2/(F2/100))),0)</f>
        <v>24276</v>
      </c>
      <c r="H2" s="5">
        <v>607</v>
      </c>
      <c r="I2" s="5">
        <v>86.48</v>
      </c>
      <c r="J2" s="5">
        <f>LOG(H2)</f>
        <v>2.7831886910752575</v>
      </c>
      <c r="K2" s="5">
        <f>LOG(G2)</f>
        <v>4.3851771288184294</v>
      </c>
      <c r="L2" s="9"/>
      <c r="M2" s="5"/>
    </row>
    <row r="3" spans="1:13" x14ac:dyDescent="0.4">
      <c r="A3" s="5" t="s">
        <v>27</v>
      </c>
      <c r="B3" s="5" t="s">
        <v>28</v>
      </c>
      <c r="C3" s="5">
        <v>23.840599999999998</v>
      </c>
      <c r="D3" s="5">
        <v>92.619699999999995</v>
      </c>
      <c r="E3" s="5">
        <v>1488</v>
      </c>
      <c r="F3" s="5">
        <v>100</v>
      </c>
      <c r="G3" s="10">
        <f t="shared" ref="G3:G66" si="0">ROUND(IF(F3=0,"",IF(F3="","",E3/(F3/100))),0)</f>
        <v>1488</v>
      </c>
      <c r="H3" s="5">
        <v>1388</v>
      </c>
      <c r="I3" s="5">
        <v>69.069999999999993</v>
      </c>
      <c r="J3" s="5">
        <f t="shared" ref="J3:J66" si="1">LOG(H3)</f>
        <v>3.1423894661188361</v>
      </c>
      <c r="K3" s="5">
        <f t="shared" ref="K3:K66" si="2">LOG(G3)</f>
        <v>3.1726029312098598</v>
      </c>
      <c r="L3" s="9"/>
      <c r="M3" s="5"/>
    </row>
    <row r="4" spans="1:13" x14ac:dyDescent="0.4">
      <c r="A4" s="5" t="s">
        <v>29</v>
      </c>
      <c r="B4" s="5" t="s">
        <v>30</v>
      </c>
      <c r="C4" s="5">
        <v>41.262500000000003</v>
      </c>
      <c r="D4" s="5">
        <v>80.291700000000006</v>
      </c>
      <c r="E4" s="5">
        <v>1084</v>
      </c>
      <c r="F4" s="5">
        <v>2.4</v>
      </c>
      <c r="G4" s="10">
        <f t="shared" si="0"/>
        <v>45167</v>
      </c>
      <c r="H4" s="5">
        <v>546</v>
      </c>
      <c r="I4" s="5">
        <v>87.83</v>
      </c>
      <c r="J4" s="5">
        <f t="shared" si="1"/>
        <v>2.7371926427047373</v>
      </c>
      <c r="K4" s="5">
        <f t="shared" si="2"/>
        <v>4.6548212456042632</v>
      </c>
      <c r="L4" s="5"/>
      <c r="M4" s="5"/>
    </row>
    <row r="5" spans="1:13" x14ac:dyDescent="0.4">
      <c r="A5" s="5" t="s">
        <v>31</v>
      </c>
      <c r="B5" s="5" t="s">
        <v>32</v>
      </c>
      <c r="C5" s="5">
        <v>20.1327</v>
      </c>
      <c r="D5" s="5">
        <v>92.872600000000006</v>
      </c>
      <c r="E5" s="5">
        <v>513</v>
      </c>
      <c r="F5" s="5">
        <v>100</v>
      </c>
      <c r="G5" s="10">
        <f t="shared" si="0"/>
        <v>513</v>
      </c>
      <c r="H5" s="5">
        <v>3211</v>
      </c>
      <c r="I5" s="5">
        <v>28.45</v>
      </c>
      <c r="J5" s="5">
        <f t="shared" si="1"/>
        <v>3.5066403055665023</v>
      </c>
      <c r="K5" s="5">
        <f t="shared" si="2"/>
        <v>2.7101173651118162</v>
      </c>
      <c r="L5" s="5"/>
      <c r="M5" s="5"/>
    </row>
    <row r="6" spans="1:13" x14ac:dyDescent="0.4">
      <c r="A6" s="5" t="s">
        <v>33</v>
      </c>
      <c r="B6" s="5" t="s">
        <v>34</v>
      </c>
      <c r="C6" s="5">
        <v>43.3521</v>
      </c>
      <c r="D6" s="5">
        <v>77.040499999999994</v>
      </c>
      <c r="E6" s="5">
        <v>1912</v>
      </c>
      <c r="F6" s="5">
        <v>1.2</v>
      </c>
      <c r="G6" s="10">
        <f t="shared" si="0"/>
        <v>159333</v>
      </c>
      <c r="H6" s="5">
        <v>207</v>
      </c>
      <c r="I6" s="5">
        <v>95.39</v>
      </c>
      <c r="J6" s="5">
        <f t="shared" si="1"/>
        <v>2.3159703454569178</v>
      </c>
      <c r="K6" s="5">
        <f t="shared" si="2"/>
        <v>5.2023057333256446</v>
      </c>
      <c r="L6" s="5"/>
      <c r="M6" s="5"/>
    </row>
    <row r="7" spans="1:13" x14ac:dyDescent="0.4">
      <c r="A7" s="5" t="s">
        <v>35</v>
      </c>
      <c r="B7" s="5" t="s">
        <v>36</v>
      </c>
      <c r="C7" s="5">
        <v>31.7226</v>
      </c>
      <c r="D7" s="5">
        <v>35.993200000000002</v>
      </c>
      <c r="E7" s="5">
        <v>1224</v>
      </c>
      <c r="F7" s="5">
        <v>0.8</v>
      </c>
      <c r="G7" s="10">
        <f t="shared" si="0"/>
        <v>153000</v>
      </c>
      <c r="H7" s="5">
        <v>275</v>
      </c>
      <c r="I7" s="5">
        <v>93.87</v>
      </c>
      <c r="J7" s="5">
        <f t="shared" si="1"/>
        <v>2.4393326938302629</v>
      </c>
      <c r="K7" s="5">
        <f t="shared" si="2"/>
        <v>5.1846914308175984</v>
      </c>
      <c r="L7" s="5"/>
      <c r="M7" s="5"/>
    </row>
    <row r="8" spans="1:13" x14ac:dyDescent="0.4">
      <c r="A8" s="5" t="s">
        <v>37</v>
      </c>
      <c r="B8" s="5" t="s">
        <v>38</v>
      </c>
      <c r="C8" s="5">
        <v>33.636699999999998</v>
      </c>
      <c r="D8" s="5">
        <v>-84.428100000000001</v>
      </c>
      <c r="E8" s="5">
        <v>1475</v>
      </c>
      <c r="F8" s="5">
        <v>0.1</v>
      </c>
      <c r="G8" s="10">
        <f t="shared" si="0"/>
        <v>1475000</v>
      </c>
      <c r="H8" s="5">
        <v>1</v>
      </c>
      <c r="I8" s="5">
        <v>99.98</v>
      </c>
      <c r="J8" s="5">
        <f t="shared" si="1"/>
        <v>0</v>
      </c>
      <c r="K8" s="5">
        <f t="shared" si="2"/>
        <v>6.1687920203141822</v>
      </c>
      <c r="L8" s="5"/>
      <c r="M8" s="5"/>
    </row>
    <row r="9" spans="1:13" x14ac:dyDescent="0.4">
      <c r="A9" s="5" t="s">
        <v>39</v>
      </c>
      <c r="B9" s="5" t="s">
        <v>40</v>
      </c>
      <c r="C9" s="5">
        <v>20.244399999999999</v>
      </c>
      <c r="D9" s="5">
        <v>85.817800000000005</v>
      </c>
      <c r="E9" s="5">
        <v>762</v>
      </c>
      <c r="F9" s="5">
        <v>0.7</v>
      </c>
      <c r="G9" s="10">
        <f t="shared" si="0"/>
        <v>108857</v>
      </c>
      <c r="H9" s="5">
        <v>384</v>
      </c>
      <c r="I9" s="5">
        <v>91.44</v>
      </c>
      <c r="J9" s="5">
        <f t="shared" si="1"/>
        <v>2.5843312243675309</v>
      </c>
      <c r="K9" s="5">
        <f t="shared" si="2"/>
        <v>5.0368563613847046</v>
      </c>
      <c r="L9" s="5"/>
      <c r="M9" s="5"/>
    </row>
    <row r="10" spans="1:13" x14ac:dyDescent="0.4">
      <c r="A10" s="5" t="s">
        <v>41</v>
      </c>
      <c r="B10" s="5" t="s">
        <v>42</v>
      </c>
      <c r="C10" s="5">
        <v>33.820900000000002</v>
      </c>
      <c r="D10" s="5">
        <v>35.488399999999999</v>
      </c>
      <c r="E10" s="5">
        <v>762</v>
      </c>
      <c r="F10" s="5">
        <v>0.3</v>
      </c>
      <c r="G10" s="10">
        <f t="shared" si="0"/>
        <v>254000</v>
      </c>
      <c r="H10" s="5">
        <v>293</v>
      </c>
      <c r="I10" s="5">
        <v>93.47</v>
      </c>
      <c r="J10" s="5">
        <f t="shared" si="1"/>
        <v>2.4668676203541096</v>
      </c>
      <c r="K10" s="5">
        <f t="shared" si="2"/>
        <v>5.4048337166199385</v>
      </c>
      <c r="L10" s="5"/>
      <c r="M10" s="5"/>
    </row>
    <row r="11" spans="1:13" x14ac:dyDescent="0.4">
      <c r="A11" s="5" t="s">
        <v>43</v>
      </c>
      <c r="B11" s="5" t="s">
        <v>44</v>
      </c>
      <c r="C11" s="5">
        <v>33.262500000000003</v>
      </c>
      <c r="D11" s="5">
        <v>44.2346</v>
      </c>
      <c r="E11" s="5">
        <v>0</v>
      </c>
      <c r="F11" s="5">
        <v>0</v>
      </c>
      <c r="G11" s="10">
        <v>83789</v>
      </c>
      <c r="H11" s="5">
        <v>528</v>
      </c>
      <c r="I11" s="5">
        <v>88.24</v>
      </c>
      <c r="J11" s="5">
        <f t="shared" si="1"/>
        <v>2.7226339225338121</v>
      </c>
      <c r="K11" s="5">
        <f t="shared" si="2"/>
        <v>4.923187007259509</v>
      </c>
      <c r="L11" s="5"/>
      <c r="M11" s="5"/>
    </row>
    <row r="12" spans="1:13" x14ac:dyDescent="0.4">
      <c r="A12" s="5" t="s">
        <v>45</v>
      </c>
      <c r="B12" s="5" t="s">
        <v>46</v>
      </c>
      <c r="C12" s="5">
        <v>39.774999999999999</v>
      </c>
      <c r="D12" s="5">
        <v>64.4833</v>
      </c>
      <c r="E12" s="5">
        <v>562</v>
      </c>
      <c r="F12" s="5">
        <v>2.7</v>
      </c>
      <c r="G12" s="10">
        <f t="shared" si="0"/>
        <v>20815</v>
      </c>
      <c r="H12" s="5">
        <v>1245</v>
      </c>
      <c r="I12" s="5">
        <v>72.260000000000005</v>
      </c>
      <c r="J12" s="5">
        <f t="shared" si="1"/>
        <v>3.0951693514317551</v>
      </c>
      <c r="K12" s="5">
        <f t="shared" si="2"/>
        <v>4.3183764152227964</v>
      </c>
      <c r="L12" s="5"/>
      <c r="M12" s="5"/>
    </row>
    <row r="13" spans="1:13" x14ac:dyDescent="0.4">
      <c r="A13" s="5" t="s">
        <v>47</v>
      </c>
      <c r="B13" s="5" t="s">
        <v>48</v>
      </c>
      <c r="C13" s="5">
        <v>13.681100000000001</v>
      </c>
      <c r="D13" s="5">
        <v>100.747</v>
      </c>
      <c r="E13" s="5">
        <v>2460</v>
      </c>
      <c r="F13" s="5">
        <v>0.8</v>
      </c>
      <c r="G13" s="10">
        <f t="shared" si="0"/>
        <v>307500</v>
      </c>
      <c r="H13" s="5">
        <v>22</v>
      </c>
      <c r="I13" s="5">
        <v>99.51</v>
      </c>
      <c r="J13" s="5">
        <f t="shared" si="1"/>
        <v>1.3424226808222062</v>
      </c>
      <c r="K13" s="5">
        <f t="shared" si="2"/>
        <v>5.4878451201114355</v>
      </c>
      <c r="L13" s="5"/>
      <c r="M13" s="5"/>
    </row>
    <row r="14" spans="1:13" x14ac:dyDescent="0.4">
      <c r="A14" s="5" t="s">
        <v>49</v>
      </c>
      <c r="B14" s="5" t="s">
        <v>50</v>
      </c>
      <c r="C14" s="5">
        <v>13.197900000000001</v>
      </c>
      <c r="D14" s="5">
        <v>77.706299999999999</v>
      </c>
      <c r="E14" s="5">
        <v>1768</v>
      </c>
      <c r="F14" s="5">
        <v>0.1</v>
      </c>
      <c r="G14" s="10">
        <f t="shared" si="0"/>
        <v>1768000</v>
      </c>
      <c r="H14" s="5">
        <v>58</v>
      </c>
      <c r="I14" s="5">
        <v>98.71</v>
      </c>
      <c r="J14" s="5">
        <f t="shared" si="1"/>
        <v>1.7634279935629373</v>
      </c>
      <c r="K14" s="5">
        <f t="shared" si="2"/>
        <v>6.2474822606770539</v>
      </c>
      <c r="L14" s="5"/>
      <c r="M14" s="5"/>
    </row>
    <row r="15" spans="1:13" x14ac:dyDescent="0.4">
      <c r="A15" s="5" t="s">
        <v>51</v>
      </c>
      <c r="B15" s="5" t="s">
        <v>52</v>
      </c>
      <c r="C15" s="5">
        <v>19.088699999999999</v>
      </c>
      <c r="D15" s="5">
        <v>72.867900000000006</v>
      </c>
      <c r="E15" s="5">
        <v>1768</v>
      </c>
      <c r="F15" s="5">
        <v>0.1</v>
      </c>
      <c r="G15" s="10">
        <f t="shared" si="0"/>
        <v>1768000</v>
      </c>
      <c r="H15" s="5">
        <v>29</v>
      </c>
      <c r="I15" s="5">
        <v>99.35</v>
      </c>
      <c r="J15" s="5">
        <f t="shared" si="1"/>
        <v>1.4623979978989561</v>
      </c>
      <c r="K15" s="5">
        <f t="shared" si="2"/>
        <v>6.2474822606770539</v>
      </c>
      <c r="L15" s="5"/>
      <c r="M15" s="5"/>
    </row>
    <row r="16" spans="1:13" x14ac:dyDescent="0.4">
      <c r="A16" s="5" t="s">
        <v>53</v>
      </c>
      <c r="B16" s="5" t="s">
        <v>54</v>
      </c>
      <c r="C16" s="5">
        <v>30.553599999999999</v>
      </c>
      <c r="D16" s="5">
        <v>97.1083</v>
      </c>
      <c r="E16" s="5">
        <v>768</v>
      </c>
      <c r="F16" s="5">
        <v>27.7</v>
      </c>
      <c r="G16" s="10">
        <f t="shared" si="0"/>
        <v>2773</v>
      </c>
      <c r="H16" s="5">
        <v>1296</v>
      </c>
      <c r="I16" s="5">
        <v>71.180000000000007</v>
      </c>
      <c r="J16" s="5">
        <f t="shared" si="1"/>
        <v>3.1126050015345745</v>
      </c>
      <c r="K16" s="5">
        <f t="shared" si="2"/>
        <v>3.4429498695778618</v>
      </c>
      <c r="L16" s="5"/>
      <c r="M16" s="5"/>
    </row>
    <row r="17" spans="1:13" x14ac:dyDescent="0.4">
      <c r="A17" s="5" t="s">
        <v>55</v>
      </c>
      <c r="B17" s="5" t="s">
        <v>56</v>
      </c>
      <c r="C17" s="5">
        <v>43.061300000000003</v>
      </c>
      <c r="D17" s="5">
        <v>74.477599999999995</v>
      </c>
      <c r="E17" s="5">
        <v>1912</v>
      </c>
      <c r="F17" s="5">
        <v>3.3</v>
      </c>
      <c r="G17" s="10">
        <f t="shared" si="0"/>
        <v>57939</v>
      </c>
      <c r="H17" s="5">
        <v>452</v>
      </c>
      <c r="I17" s="5">
        <v>89.93</v>
      </c>
      <c r="J17" s="5">
        <f t="shared" si="1"/>
        <v>2.655138434811382</v>
      </c>
      <c r="K17" s="5">
        <f t="shared" si="2"/>
        <v>4.762970995213105</v>
      </c>
      <c r="L17" s="5"/>
      <c r="M17" s="5"/>
    </row>
    <row r="18" spans="1:13" x14ac:dyDescent="0.4">
      <c r="A18" s="5" t="s">
        <v>57</v>
      </c>
      <c r="B18" s="5" t="s">
        <v>58</v>
      </c>
      <c r="C18" s="5">
        <v>27.505700000000001</v>
      </c>
      <c r="D18" s="5">
        <v>83.416300000000007</v>
      </c>
      <c r="E18" s="5">
        <v>775</v>
      </c>
      <c r="F18" s="5">
        <v>17.399999999999999</v>
      </c>
      <c r="G18" s="10">
        <f t="shared" si="0"/>
        <v>4454</v>
      </c>
      <c r="H18" s="5">
        <v>1642</v>
      </c>
      <c r="I18" s="5">
        <v>63.41</v>
      </c>
      <c r="J18" s="5">
        <f t="shared" si="1"/>
        <v>3.215373152783422</v>
      </c>
      <c r="K18" s="5">
        <f t="shared" si="2"/>
        <v>3.6487502126980194</v>
      </c>
      <c r="L18" s="5"/>
      <c r="M18" s="5"/>
    </row>
    <row r="19" spans="1:13" x14ac:dyDescent="0.4">
      <c r="A19" s="5" t="s">
        <v>59</v>
      </c>
      <c r="B19" s="5" t="s">
        <v>60</v>
      </c>
      <c r="C19" s="5">
        <v>23.392399999999999</v>
      </c>
      <c r="D19" s="5">
        <v>113.29900000000001</v>
      </c>
      <c r="E19" s="5">
        <v>1072</v>
      </c>
      <c r="F19" s="5">
        <v>0.1</v>
      </c>
      <c r="G19" s="10">
        <f t="shared" si="0"/>
        <v>1072000</v>
      </c>
      <c r="H19" s="5">
        <v>9</v>
      </c>
      <c r="I19" s="5">
        <v>99.8</v>
      </c>
      <c r="J19" s="5">
        <f t="shared" si="1"/>
        <v>0.95424250943932487</v>
      </c>
      <c r="K19" s="5">
        <f t="shared" si="2"/>
        <v>6.030194785356751</v>
      </c>
      <c r="L19" s="5"/>
      <c r="M19" s="5"/>
    </row>
    <row r="20" spans="1:13" x14ac:dyDescent="0.4">
      <c r="A20" s="5" t="s">
        <v>61</v>
      </c>
      <c r="B20" s="5" t="s">
        <v>62</v>
      </c>
      <c r="C20" s="5">
        <v>22.654699999999998</v>
      </c>
      <c r="D20" s="5">
        <v>88.446700000000007</v>
      </c>
      <c r="E20" s="5">
        <v>2056</v>
      </c>
      <c r="F20" s="5">
        <v>0.2</v>
      </c>
      <c r="G20" s="10">
        <f t="shared" si="0"/>
        <v>1028000</v>
      </c>
      <c r="H20" s="5">
        <v>136</v>
      </c>
      <c r="I20" s="5">
        <v>96.97</v>
      </c>
      <c r="J20" s="5">
        <f t="shared" si="1"/>
        <v>2.1335389083702174</v>
      </c>
      <c r="K20" s="5">
        <f t="shared" si="2"/>
        <v>6.0119931146592567</v>
      </c>
      <c r="L20" s="5"/>
      <c r="M20" s="5"/>
    </row>
    <row r="21" spans="1:13" x14ac:dyDescent="0.4">
      <c r="A21" s="5" t="s">
        <v>63</v>
      </c>
      <c r="B21" s="5" t="s">
        <v>64</v>
      </c>
      <c r="C21" s="5">
        <v>19.952300000000001</v>
      </c>
      <c r="D21" s="5">
        <v>99.882900000000006</v>
      </c>
      <c r="E21" s="5">
        <v>804</v>
      </c>
      <c r="F21" s="5">
        <v>2.2000000000000002</v>
      </c>
      <c r="G21" s="10">
        <f t="shared" si="0"/>
        <v>36545</v>
      </c>
      <c r="H21" s="5">
        <v>667</v>
      </c>
      <c r="I21" s="5">
        <v>85.14</v>
      </c>
      <c r="J21" s="5">
        <f t="shared" si="1"/>
        <v>2.8241258339165491</v>
      </c>
      <c r="K21" s="5">
        <f t="shared" si="2"/>
        <v>4.5628279662199915</v>
      </c>
      <c r="L21" s="5"/>
      <c r="M21" s="5"/>
    </row>
    <row r="22" spans="1:13" x14ac:dyDescent="0.4">
      <c r="A22" s="5" t="s">
        <v>65</v>
      </c>
      <c r="B22" s="5" t="s">
        <v>66</v>
      </c>
      <c r="C22" s="5">
        <v>-6.1256000000000004</v>
      </c>
      <c r="D22" s="5">
        <v>106.65600000000001</v>
      </c>
      <c r="E22" s="5">
        <v>2046</v>
      </c>
      <c r="F22" s="5">
        <v>0.4</v>
      </c>
      <c r="G22" s="10">
        <f t="shared" si="0"/>
        <v>511500</v>
      </c>
      <c r="H22" s="5">
        <v>28</v>
      </c>
      <c r="I22" s="5">
        <v>99.38</v>
      </c>
      <c r="J22" s="5">
        <f t="shared" si="1"/>
        <v>1.4471580313422192</v>
      </c>
      <c r="K22" s="5">
        <f t="shared" si="2"/>
        <v>5.7088456380481789</v>
      </c>
      <c r="L22" s="5"/>
      <c r="M22" s="5"/>
    </row>
    <row r="23" spans="1:13" x14ac:dyDescent="0.4">
      <c r="A23" s="5" t="s">
        <v>67</v>
      </c>
      <c r="B23" s="5" t="s">
        <v>68</v>
      </c>
      <c r="C23" s="5">
        <v>22.249600000000001</v>
      </c>
      <c r="D23" s="5">
        <v>91.813299999999998</v>
      </c>
      <c r="E23" s="5">
        <v>828</v>
      </c>
      <c r="F23" s="5">
        <v>2.7</v>
      </c>
      <c r="G23" s="10">
        <f t="shared" si="0"/>
        <v>30667</v>
      </c>
      <c r="H23" s="5">
        <v>719</v>
      </c>
      <c r="I23" s="5">
        <v>83.98</v>
      </c>
      <c r="J23" s="5">
        <f t="shared" si="1"/>
        <v>2.8567288903828825</v>
      </c>
      <c r="K23" s="5">
        <f t="shared" si="2"/>
        <v>4.4866712931924324</v>
      </c>
      <c r="L23" s="5"/>
      <c r="M23" s="5"/>
    </row>
    <row r="24" spans="1:13" x14ac:dyDescent="0.4">
      <c r="A24" s="5" t="s">
        <v>69</v>
      </c>
      <c r="B24" s="5" t="s">
        <v>70</v>
      </c>
      <c r="C24" s="5">
        <v>11.03</v>
      </c>
      <c r="D24" s="5">
        <v>77.043400000000005</v>
      </c>
      <c r="E24" s="5">
        <v>1528</v>
      </c>
      <c r="F24" s="5">
        <v>2.2000000000000002</v>
      </c>
      <c r="G24" s="10">
        <f t="shared" si="0"/>
        <v>69455</v>
      </c>
      <c r="H24" s="5">
        <v>530</v>
      </c>
      <c r="I24" s="5">
        <v>88.19</v>
      </c>
      <c r="J24" s="5">
        <f t="shared" si="1"/>
        <v>2.7242758696007892</v>
      </c>
      <c r="K24" s="5">
        <f t="shared" si="2"/>
        <v>4.841703515649538</v>
      </c>
      <c r="L24" s="5"/>
      <c r="M24" s="5"/>
    </row>
    <row r="25" spans="1:13" x14ac:dyDescent="0.4">
      <c r="A25" s="5" t="s">
        <v>71</v>
      </c>
      <c r="B25" s="5" t="s">
        <v>72</v>
      </c>
      <c r="C25" s="5">
        <v>7.1807999999999996</v>
      </c>
      <c r="D25" s="5">
        <v>79.884100000000004</v>
      </c>
      <c r="E25" s="5">
        <v>1912</v>
      </c>
      <c r="F25" s="5">
        <v>0.2</v>
      </c>
      <c r="G25" s="10">
        <f t="shared" si="0"/>
        <v>956000</v>
      </c>
      <c r="H25" s="5">
        <v>257</v>
      </c>
      <c r="I25" s="5">
        <v>94.27</v>
      </c>
      <c r="J25" s="5">
        <f t="shared" si="1"/>
        <v>2.4099331233312946</v>
      </c>
      <c r="K25" s="5">
        <f t="shared" si="2"/>
        <v>5.9804578922761005</v>
      </c>
      <c r="L25" s="5"/>
      <c r="M25" s="5"/>
    </row>
    <row r="26" spans="1:13" x14ac:dyDescent="0.4">
      <c r="A26" s="5" t="s">
        <v>73</v>
      </c>
      <c r="B26" s="5" t="s">
        <v>74</v>
      </c>
      <c r="C26" s="5">
        <v>18.7668</v>
      </c>
      <c r="D26" s="5">
        <v>98.962599999999995</v>
      </c>
      <c r="E26" s="5">
        <v>1358</v>
      </c>
      <c r="F26" s="5">
        <v>0.9</v>
      </c>
      <c r="G26" s="10">
        <f t="shared" si="0"/>
        <v>150889</v>
      </c>
      <c r="H26" s="5">
        <v>250</v>
      </c>
      <c r="I26" s="5">
        <v>94.43</v>
      </c>
      <c r="J26" s="5">
        <f t="shared" si="1"/>
        <v>2.3979400086720375</v>
      </c>
      <c r="K26" s="5">
        <f t="shared" si="2"/>
        <v>5.1786575803095189</v>
      </c>
      <c r="L26" s="5"/>
      <c r="M26" s="5"/>
    </row>
    <row r="27" spans="1:13" x14ac:dyDescent="0.4">
      <c r="A27" s="5" t="s">
        <v>75</v>
      </c>
      <c r="B27" s="5" t="s">
        <v>76</v>
      </c>
      <c r="C27" s="5">
        <v>30.578499999999998</v>
      </c>
      <c r="D27" s="5">
        <v>103.947</v>
      </c>
      <c r="E27" s="5">
        <v>536</v>
      </c>
      <c r="F27" s="5">
        <v>0.1</v>
      </c>
      <c r="G27" s="10">
        <f t="shared" si="0"/>
        <v>536000</v>
      </c>
      <c r="H27" s="5">
        <v>68</v>
      </c>
      <c r="I27" s="5">
        <v>98.48</v>
      </c>
      <c r="J27" s="5">
        <f t="shared" si="1"/>
        <v>1.8325089127062364</v>
      </c>
      <c r="K27" s="5">
        <f t="shared" si="2"/>
        <v>5.7291647896927698</v>
      </c>
      <c r="L27" s="5"/>
      <c r="M27" s="5"/>
    </row>
    <row r="28" spans="1:13" x14ac:dyDescent="0.4">
      <c r="A28" s="5" t="s">
        <v>77</v>
      </c>
      <c r="B28" s="5" t="s">
        <v>78</v>
      </c>
      <c r="C28" s="5">
        <v>21.452200000000001</v>
      </c>
      <c r="D28" s="5">
        <v>91.963899999999995</v>
      </c>
      <c r="E28" s="5">
        <v>780</v>
      </c>
      <c r="F28" s="5">
        <v>35.200000000000003</v>
      </c>
      <c r="G28" s="10">
        <f t="shared" si="0"/>
        <v>2216</v>
      </c>
      <c r="H28" s="5">
        <v>2417</v>
      </c>
      <c r="I28" s="5">
        <v>46.15</v>
      </c>
      <c r="J28" s="5">
        <f t="shared" si="1"/>
        <v>3.3832766504076504</v>
      </c>
      <c r="K28" s="5">
        <f t="shared" si="2"/>
        <v>3.345569756056392</v>
      </c>
      <c r="L28" s="5"/>
      <c r="M28" s="5"/>
    </row>
    <row r="29" spans="1:13" x14ac:dyDescent="0.4">
      <c r="A29" s="5" t="s">
        <v>79</v>
      </c>
      <c r="B29" s="5" t="s">
        <v>80</v>
      </c>
      <c r="C29" s="5">
        <v>23.843299999999999</v>
      </c>
      <c r="D29" s="5">
        <v>90.397800000000004</v>
      </c>
      <c r="E29" s="5">
        <v>1488</v>
      </c>
      <c r="F29" s="5">
        <v>0.7</v>
      </c>
      <c r="G29" s="10">
        <f t="shared" si="0"/>
        <v>212571</v>
      </c>
      <c r="H29" s="5">
        <v>191</v>
      </c>
      <c r="I29" s="5">
        <v>95.74</v>
      </c>
      <c r="J29" s="5">
        <f t="shared" si="1"/>
        <v>2.2810333672477277</v>
      </c>
      <c r="K29" s="5">
        <f t="shared" si="2"/>
        <v>5.3275040156010069</v>
      </c>
      <c r="L29" s="5"/>
      <c r="M29" s="5"/>
    </row>
    <row r="30" spans="1:13" x14ac:dyDescent="0.4">
      <c r="A30" s="5" t="s">
        <v>81</v>
      </c>
      <c r="B30" s="5" t="s">
        <v>82</v>
      </c>
      <c r="C30" s="5">
        <v>33.411499999999997</v>
      </c>
      <c r="D30" s="5">
        <v>36.515599999999999</v>
      </c>
      <c r="E30" s="5">
        <v>0</v>
      </c>
      <c r="F30" s="5">
        <v>0</v>
      </c>
      <c r="G30" s="10">
        <v>40437</v>
      </c>
      <c r="H30" s="5">
        <v>476</v>
      </c>
      <c r="I30" s="5">
        <v>89.39</v>
      </c>
      <c r="J30" s="5">
        <f t="shared" si="1"/>
        <v>2.6776069527204931</v>
      </c>
      <c r="K30" s="5">
        <f t="shared" si="2"/>
        <v>4.6067789280323499</v>
      </c>
      <c r="L30" s="5"/>
      <c r="M30" s="5"/>
    </row>
    <row r="31" spans="1:13" x14ac:dyDescent="0.4">
      <c r="A31" s="5" t="s">
        <v>83</v>
      </c>
      <c r="B31" s="5" t="s">
        <v>84</v>
      </c>
      <c r="C31" s="5">
        <v>29.3231</v>
      </c>
      <c r="D31" s="5">
        <v>100.05329999999999</v>
      </c>
      <c r="E31" s="5">
        <v>1005</v>
      </c>
      <c r="F31" s="5">
        <v>21.9</v>
      </c>
      <c r="G31" s="10">
        <f t="shared" si="0"/>
        <v>4589</v>
      </c>
      <c r="H31" s="5">
        <v>2136</v>
      </c>
      <c r="I31" s="5">
        <v>52.41</v>
      </c>
      <c r="J31" s="5">
        <f t="shared" si="1"/>
        <v>3.3296012483565187</v>
      </c>
      <c r="K31" s="5">
        <f t="shared" si="2"/>
        <v>3.6617180576946593</v>
      </c>
      <c r="L31" s="5"/>
      <c r="M31" s="5"/>
    </row>
    <row r="32" spans="1:13" x14ac:dyDescent="0.4">
      <c r="A32" s="5" t="s">
        <v>85</v>
      </c>
      <c r="B32" s="5" t="s">
        <v>86</v>
      </c>
      <c r="C32" s="5">
        <v>30.189699999999998</v>
      </c>
      <c r="D32" s="5">
        <v>78.180300000000003</v>
      </c>
      <c r="E32" s="5">
        <v>1528</v>
      </c>
      <c r="F32" s="5">
        <v>2.1</v>
      </c>
      <c r="G32" s="10">
        <f t="shared" si="0"/>
        <v>72762</v>
      </c>
      <c r="H32" s="5">
        <v>733</v>
      </c>
      <c r="I32" s="5">
        <v>83.67</v>
      </c>
      <c r="J32" s="5">
        <f t="shared" si="1"/>
        <v>2.8651039746411278</v>
      </c>
      <c r="K32" s="5">
        <f t="shared" si="2"/>
        <v>4.8619046279536544</v>
      </c>
      <c r="L32" s="5"/>
      <c r="M32" s="5"/>
    </row>
    <row r="33" spans="1:13" x14ac:dyDescent="0.4">
      <c r="A33" s="5" t="s">
        <v>87</v>
      </c>
      <c r="B33" s="5" t="s">
        <v>88</v>
      </c>
      <c r="C33" s="5">
        <v>28.566500000000001</v>
      </c>
      <c r="D33" s="5">
        <v>77.103099999999998</v>
      </c>
      <c r="E33" s="5">
        <v>3574</v>
      </c>
      <c r="F33" s="5">
        <v>0.2</v>
      </c>
      <c r="G33" s="10">
        <f t="shared" si="0"/>
        <v>1787000</v>
      </c>
      <c r="H33" s="5">
        <v>11</v>
      </c>
      <c r="I33" s="5">
        <v>99.75</v>
      </c>
      <c r="J33" s="5">
        <f t="shared" si="1"/>
        <v>1.0413926851582251</v>
      </c>
      <c r="K33" s="5">
        <f t="shared" si="2"/>
        <v>6.2521245525056441</v>
      </c>
      <c r="L33" s="5"/>
      <c r="M33" s="5"/>
    </row>
    <row r="34" spans="1:13" x14ac:dyDescent="0.4">
      <c r="A34" s="5" t="s">
        <v>89</v>
      </c>
      <c r="B34" s="5" t="s">
        <v>90</v>
      </c>
      <c r="C34" s="5">
        <v>27.483899999999998</v>
      </c>
      <c r="D34" s="5">
        <v>95.016900000000007</v>
      </c>
      <c r="E34" s="5">
        <v>2016</v>
      </c>
      <c r="F34" s="5">
        <v>100</v>
      </c>
      <c r="G34" s="10">
        <f t="shared" si="0"/>
        <v>2016</v>
      </c>
      <c r="H34" s="5">
        <v>1088</v>
      </c>
      <c r="I34" s="5">
        <v>75.8</v>
      </c>
      <c r="J34" s="5">
        <f t="shared" si="1"/>
        <v>3.0366288953621612</v>
      </c>
      <c r="K34" s="5">
        <f t="shared" si="2"/>
        <v>3.3044905277734875</v>
      </c>
      <c r="L34" s="5"/>
      <c r="M34" s="5"/>
    </row>
    <row r="35" spans="1:13" x14ac:dyDescent="0.4">
      <c r="A35" s="5" t="s">
        <v>91</v>
      </c>
      <c r="B35" s="5" t="s">
        <v>92</v>
      </c>
      <c r="C35" s="5">
        <v>27.793600000000001</v>
      </c>
      <c r="D35" s="5">
        <v>99.677199999999999</v>
      </c>
      <c r="E35" s="5">
        <v>1048</v>
      </c>
      <c r="F35" s="5">
        <v>15.6</v>
      </c>
      <c r="G35" s="10">
        <f t="shared" si="0"/>
        <v>6718</v>
      </c>
      <c r="H35" s="5">
        <v>1348</v>
      </c>
      <c r="I35" s="5">
        <v>69.959999999999994</v>
      </c>
      <c r="J35" s="5">
        <f t="shared" si="1"/>
        <v>3.129689892199301</v>
      </c>
      <c r="K35" s="5">
        <f t="shared" si="2"/>
        <v>3.8272399995056454</v>
      </c>
      <c r="L35" s="5"/>
      <c r="M35" s="5"/>
    </row>
    <row r="36" spans="1:13" x14ac:dyDescent="0.4">
      <c r="A36" s="5" t="s">
        <v>93</v>
      </c>
      <c r="B36" s="5" t="s">
        <v>94</v>
      </c>
      <c r="C36" s="5">
        <v>25.6494</v>
      </c>
      <c r="D36" s="5">
        <v>100.319</v>
      </c>
      <c r="E36" s="5">
        <v>730</v>
      </c>
      <c r="F36" s="5">
        <v>2.8</v>
      </c>
      <c r="G36" s="10">
        <f t="shared" si="0"/>
        <v>26071</v>
      </c>
      <c r="H36" s="5">
        <v>436</v>
      </c>
      <c r="I36" s="5">
        <v>90.29</v>
      </c>
      <c r="J36" s="5">
        <f t="shared" si="1"/>
        <v>2.6394864892685859</v>
      </c>
      <c r="K36" s="5">
        <f t="shared" si="2"/>
        <v>4.4161576896321852</v>
      </c>
      <c r="L36" s="5"/>
      <c r="M36" s="5"/>
    </row>
    <row r="37" spans="1:13" x14ac:dyDescent="0.4">
      <c r="A37" s="5" t="s">
        <v>95</v>
      </c>
      <c r="B37" s="5" t="s">
        <v>96</v>
      </c>
      <c r="C37" s="5">
        <v>25.883900000000001</v>
      </c>
      <c r="D37" s="5">
        <v>93.771100000000004</v>
      </c>
      <c r="E37" s="5">
        <v>1048</v>
      </c>
      <c r="F37" s="5">
        <v>100</v>
      </c>
      <c r="G37" s="10">
        <f t="shared" si="0"/>
        <v>1048</v>
      </c>
      <c r="H37" s="5">
        <v>1506</v>
      </c>
      <c r="I37" s="5">
        <v>66.44</v>
      </c>
      <c r="J37" s="5">
        <f t="shared" si="1"/>
        <v>3.1778249718646818</v>
      </c>
      <c r="K37" s="5">
        <f t="shared" si="2"/>
        <v>3.0203612826477078</v>
      </c>
      <c r="L37" s="5"/>
      <c r="M37" s="5"/>
    </row>
    <row r="38" spans="1:13" x14ac:dyDescent="0.4">
      <c r="A38" s="5" t="s">
        <v>97</v>
      </c>
      <c r="B38" s="5" t="s">
        <v>98</v>
      </c>
      <c r="C38" s="5">
        <v>25.273099999999999</v>
      </c>
      <c r="D38" s="5">
        <v>51.6081</v>
      </c>
      <c r="E38" s="5">
        <v>2046</v>
      </c>
      <c r="F38" s="5">
        <v>0.4</v>
      </c>
      <c r="G38" s="10">
        <f t="shared" si="0"/>
        <v>511500</v>
      </c>
      <c r="H38" s="5">
        <v>32</v>
      </c>
      <c r="I38" s="5">
        <v>99.29</v>
      </c>
      <c r="J38" s="5">
        <f t="shared" si="1"/>
        <v>1.505149978319906</v>
      </c>
      <c r="K38" s="5">
        <f t="shared" si="2"/>
        <v>5.7088456380481789</v>
      </c>
      <c r="L38" s="5"/>
      <c r="M38" s="5"/>
    </row>
    <row r="39" spans="1:13" x14ac:dyDescent="0.4">
      <c r="A39" s="5" t="s">
        <v>99</v>
      </c>
      <c r="B39" s="5" t="s">
        <v>100</v>
      </c>
      <c r="C39" s="5">
        <v>25.252800000000001</v>
      </c>
      <c r="D39" s="5">
        <v>55.364400000000003</v>
      </c>
      <c r="E39" s="5">
        <v>2055</v>
      </c>
      <c r="F39" s="5">
        <v>0.3</v>
      </c>
      <c r="G39" s="10">
        <f t="shared" si="0"/>
        <v>685000</v>
      </c>
      <c r="H39" s="5">
        <v>2</v>
      </c>
      <c r="I39" s="5">
        <v>99.96</v>
      </c>
      <c r="J39" s="5">
        <f t="shared" si="1"/>
        <v>0.3010299956639812</v>
      </c>
      <c r="K39" s="5">
        <f t="shared" si="2"/>
        <v>5.8356905714924254</v>
      </c>
      <c r="L39" s="5"/>
      <c r="M39" s="5"/>
    </row>
    <row r="40" spans="1:13" x14ac:dyDescent="0.4">
      <c r="A40" s="5" t="s">
        <v>101</v>
      </c>
      <c r="B40" s="5" t="s">
        <v>102</v>
      </c>
      <c r="C40" s="5">
        <v>38.543300000000002</v>
      </c>
      <c r="D40" s="5">
        <v>68.825000000000003</v>
      </c>
      <c r="E40" s="5">
        <v>1376</v>
      </c>
      <c r="F40" s="5">
        <v>4.0999999999999996</v>
      </c>
      <c r="G40" s="10">
        <f t="shared" si="0"/>
        <v>33561</v>
      </c>
      <c r="H40" s="5">
        <v>596</v>
      </c>
      <c r="I40" s="5">
        <v>86.72</v>
      </c>
      <c r="J40" s="5">
        <f t="shared" si="1"/>
        <v>2.7752462597402365</v>
      </c>
      <c r="K40" s="5">
        <f t="shared" si="2"/>
        <v>4.5258348928006322</v>
      </c>
      <c r="L40" s="5"/>
      <c r="M40" s="5"/>
    </row>
    <row r="41" spans="1:13" x14ac:dyDescent="0.4">
      <c r="A41" s="5" t="s">
        <v>103</v>
      </c>
      <c r="B41" s="5" t="s">
        <v>104</v>
      </c>
      <c r="C41" s="5">
        <v>55.95</v>
      </c>
      <c r="D41" s="5">
        <v>-3.3725000000000001</v>
      </c>
      <c r="E41" s="5">
        <v>1480</v>
      </c>
      <c r="F41" s="5">
        <v>0.5</v>
      </c>
      <c r="G41" s="10">
        <f t="shared" si="0"/>
        <v>296000</v>
      </c>
      <c r="H41" s="5">
        <v>159</v>
      </c>
      <c r="I41" s="5">
        <v>96.46</v>
      </c>
      <c r="J41" s="5">
        <f t="shared" si="1"/>
        <v>2.2013971243204513</v>
      </c>
      <c r="K41" s="5">
        <f t="shared" si="2"/>
        <v>5.4712917110589387</v>
      </c>
      <c r="L41" s="5"/>
      <c r="M41" s="5"/>
    </row>
    <row r="42" spans="1:13" x14ac:dyDescent="0.4">
      <c r="A42" s="5" t="s">
        <v>105</v>
      </c>
      <c r="B42" s="5" t="s">
        <v>106</v>
      </c>
      <c r="C42" s="5">
        <v>31.807200000000002</v>
      </c>
      <c r="D42" s="5">
        <v>-106.378</v>
      </c>
      <c r="E42" s="5">
        <v>0</v>
      </c>
      <c r="F42" s="5">
        <v>0</v>
      </c>
      <c r="G42" s="10">
        <v>239170</v>
      </c>
      <c r="H42" s="5">
        <v>432</v>
      </c>
      <c r="I42" s="5">
        <v>90.37</v>
      </c>
      <c r="J42" s="5">
        <f t="shared" si="1"/>
        <v>2.6354837468149119</v>
      </c>
      <c r="K42" s="5">
        <f t="shared" si="2"/>
        <v>5.3787067035289526</v>
      </c>
      <c r="L42" s="5"/>
      <c r="M42" s="5"/>
    </row>
    <row r="43" spans="1:13" x14ac:dyDescent="0.4">
      <c r="A43" s="5" t="s">
        <v>107</v>
      </c>
      <c r="B43" s="5" t="s">
        <v>286</v>
      </c>
      <c r="C43" s="5">
        <v>40.128100000000003</v>
      </c>
      <c r="D43" s="5">
        <v>32.995100000000001</v>
      </c>
      <c r="E43" s="5">
        <v>1070</v>
      </c>
      <c r="F43" s="5">
        <v>0.3</v>
      </c>
      <c r="G43" s="10">
        <f t="shared" si="0"/>
        <v>356667</v>
      </c>
      <c r="H43" s="5">
        <v>187</v>
      </c>
      <c r="I43" s="5">
        <v>95.83</v>
      </c>
      <c r="J43" s="5">
        <f t="shared" si="1"/>
        <v>2.271841606536499</v>
      </c>
      <c r="K43" s="5">
        <f t="shared" si="2"/>
        <v>5.5522629288480507</v>
      </c>
      <c r="L43" s="5"/>
      <c r="M43" s="5"/>
    </row>
    <row r="44" spans="1:13" x14ac:dyDescent="0.4">
      <c r="A44" s="5" t="s">
        <v>108</v>
      </c>
      <c r="B44" s="5" t="s">
        <v>109</v>
      </c>
      <c r="C44" s="5">
        <v>62.063600000000001</v>
      </c>
      <c r="D44" s="5">
        <v>-7.2771999999999997</v>
      </c>
      <c r="E44" s="5">
        <v>668</v>
      </c>
      <c r="F44" s="5">
        <v>1.1000000000000001</v>
      </c>
      <c r="G44" s="10">
        <f t="shared" si="0"/>
        <v>60727</v>
      </c>
      <c r="H44" s="5">
        <v>1414</v>
      </c>
      <c r="I44" s="5">
        <v>68.489999999999995</v>
      </c>
      <c r="J44" s="5">
        <f t="shared" si="1"/>
        <v>3.1504494094608808</v>
      </c>
      <c r="K44" s="5">
        <f t="shared" si="2"/>
        <v>4.783381826888621</v>
      </c>
      <c r="L44" s="5"/>
      <c r="M44" s="5"/>
    </row>
    <row r="45" spans="1:13" x14ac:dyDescent="0.4">
      <c r="A45" s="5" t="s">
        <v>110</v>
      </c>
      <c r="B45" s="5" t="s">
        <v>111</v>
      </c>
      <c r="C45" s="5">
        <v>39.2241</v>
      </c>
      <c r="D45" s="5">
        <v>125.67</v>
      </c>
      <c r="E45" s="5">
        <v>797</v>
      </c>
      <c r="F45" s="5">
        <v>8.1999999999999993</v>
      </c>
      <c r="G45" s="10">
        <f t="shared" si="0"/>
        <v>9720</v>
      </c>
      <c r="H45" s="5">
        <v>2441</v>
      </c>
      <c r="I45" s="5">
        <v>45.61</v>
      </c>
      <c r="J45" s="5">
        <f t="shared" si="1"/>
        <v>3.3875677794171888</v>
      </c>
      <c r="K45" s="5">
        <f t="shared" si="2"/>
        <v>3.9876662649262746</v>
      </c>
      <c r="L45" s="5"/>
      <c r="M45" s="5"/>
    </row>
    <row r="46" spans="1:13" x14ac:dyDescent="0.4">
      <c r="A46" s="5" t="s">
        <v>112</v>
      </c>
      <c r="B46" s="5" t="s">
        <v>113</v>
      </c>
      <c r="C46" s="5">
        <v>26.106100000000001</v>
      </c>
      <c r="D46" s="5">
        <v>91.585899999999995</v>
      </c>
      <c r="E46" s="5">
        <v>4584</v>
      </c>
      <c r="F46" s="5">
        <v>2.8</v>
      </c>
      <c r="G46" s="10">
        <f t="shared" si="0"/>
        <v>163714</v>
      </c>
      <c r="H46" s="5">
        <v>329</v>
      </c>
      <c r="I46" s="5">
        <v>92.67</v>
      </c>
      <c r="J46" s="5">
        <f t="shared" si="1"/>
        <v>2.5171958979499744</v>
      </c>
      <c r="K46" s="5">
        <f t="shared" si="2"/>
        <v>5.2140858196854198</v>
      </c>
      <c r="L46" s="5"/>
      <c r="M46" s="5"/>
    </row>
    <row r="47" spans="1:13" x14ac:dyDescent="0.4">
      <c r="A47" s="5" t="s">
        <v>114</v>
      </c>
      <c r="B47" s="5" t="s">
        <v>115</v>
      </c>
      <c r="C47" s="5">
        <v>36.400599999999997</v>
      </c>
      <c r="D47" s="5">
        <v>94.786100000000005</v>
      </c>
      <c r="E47" s="5">
        <v>604</v>
      </c>
      <c r="F47" s="5">
        <v>100</v>
      </c>
      <c r="G47" s="10">
        <f t="shared" si="0"/>
        <v>604</v>
      </c>
      <c r="H47" s="5">
        <v>1435</v>
      </c>
      <c r="I47" s="5">
        <v>68.03</v>
      </c>
      <c r="J47" s="5">
        <f t="shared" si="1"/>
        <v>3.1568519010700111</v>
      </c>
      <c r="K47" s="5">
        <f t="shared" si="2"/>
        <v>2.7810369386211318</v>
      </c>
      <c r="L47" s="5"/>
      <c r="M47" s="5"/>
    </row>
    <row r="48" spans="1:13" x14ac:dyDescent="0.4">
      <c r="A48" s="5" t="s">
        <v>116</v>
      </c>
      <c r="B48" s="5" t="s">
        <v>117</v>
      </c>
      <c r="C48" s="5">
        <v>40.467500000000001</v>
      </c>
      <c r="D48" s="5">
        <v>50.046700000000001</v>
      </c>
      <c r="E48" s="5">
        <v>508</v>
      </c>
      <c r="F48" s="5">
        <v>0.2</v>
      </c>
      <c r="G48" s="10">
        <f t="shared" si="0"/>
        <v>254000</v>
      </c>
      <c r="H48" s="5">
        <v>282</v>
      </c>
      <c r="I48" s="5">
        <v>93.72</v>
      </c>
      <c r="J48" s="5">
        <f t="shared" si="1"/>
        <v>2.4502491083193609</v>
      </c>
      <c r="K48" s="5">
        <f t="shared" si="2"/>
        <v>5.4048337166199385</v>
      </c>
      <c r="L48" s="5"/>
      <c r="M48" s="5"/>
    </row>
    <row r="49" spans="1:13" x14ac:dyDescent="0.4">
      <c r="A49" s="5" t="s">
        <v>118</v>
      </c>
      <c r="B49" s="5" t="s">
        <v>119</v>
      </c>
      <c r="C49" s="5">
        <v>31.6492</v>
      </c>
      <c r="D49" s="5">
        <v>99.822800000000001</v>
      </c>
      <c r="E49" s="5">
        <v>633</v>
      </c>
      <c r="F49" s="5">
        <v>21</v>
      </c>
      <c r="G49" s="10">
        <f t="shared" si="0"/>
        <v>3014</v>
      </c>
      <c r="H49" s="5">
        <v>2359</v>
      </c>
      <c r="I49" s="5">
        <v>47.44</v>
      </c>
      <c r="J49" s="5">
        <f t="shared" si="1"/>
        <v>3.3727279408855955</v>
      </c>
      <c r="K49" s="5">
        <f t="shared" si="2"/>
        <v>3.4791432479786129</v>
      </c>
      <c r="L49" s="5"/>
      <c r="M49" s="5"/>
    </row>
    <row r="50" spans="1:13" x14ac:dyDescent="0.4">
      <c r="A50" s="5" t="s">
        <v>120</v>
      </c>
      <c r="B50" s="5" t="s">
        <v>121</v>
      </c>
      <c r="C50" s="5">
        <v>21.2212</v>
      </c>
      <c r="D50" s="5">
        <v>105.807</v>
      </c>
      <c r="E50" s="5">
        <v>1894</v>
      </c>
      <c r="F50" s="5">
        <v>0.6</v>
      </c>
      <c r="G50" s="10">
        <f t="shared" si="0"/>
        <v>315667</v>
      </c>
      <c r="H50" s="5">
        <v>87</v>
      </c>
      <c r="I50" s="5">
        <v>98.06</v>
      </c>
      <c r="J50" s="5">
        <f t="shared" si="1"/>
        <v>1.9395192526186185</v>
      </c>
      <c r="K50" s="5">
        <f t="shared" si="2"/>
        <v>5.4992291828836661</v>
      </c>
      <c r="L50" s="5"/>
      <c r="M50" s="5"/>
    </row>
    <row r="51" spans="1:13" x14ac:dyDescent="0.4">
      <c r="A51" s="5" t="s">
        <v>122</v>
      </c>
      <c r="B51" s="5" t="s">
        <v>123</v>
      </c>
      <c r="C51" s="5">
        <v>26.97</v>
      </c>
      <c r="D51" s="5">
        <v>93.664699999999996</v>
      </c>
      <c r="E51" s="5">
        <v>1648</v>
      </c>
      <c r="F51" s="5">
        <v>100</v>
      </c>
      <c r="G51" s="10">
        <f t="shared" si="0"/>
        <v>1648</v>
      </c>
      <c r="H51" s="5">
        <v>1890</v>
      </c>
      <c r="I51" s="5">
        <v>57.89</v>
      </c>
      <c r="J51" s="5">
        <f t="shared" si="1"/>
        <v>3.2764618041732443</v>
      </c>
      <c r="K51" s="5">
        <f t="shared" si="2"/>
        <v>3.216957207361097</v>
      </c>
      <c r="L51" s="5"/>
      <c r="M51" s="5"/>
    </row>
    <row r="52" spans="1:13" x14ac:dyDescent="0.4">
      <c r="A52" s="5" t="s">
        <v>124</v>
      </c>
      <c r="B52" s="5" t="s">
        <v>125</v>
      </c>
      <c r="C52" s="5">
        <v>22.308900000000001</v>
      </c>
      <c r="D52" s="5">
        <v>113.91500000000001</v>
      </c>
      <c r="E52" s="5">
        <v>1912</v>
      </c>
      <c r="F52" s="5">
        <v>0.1</v>
      </c>
      <c r="G52" s="10">
        <f t="shared" si="0"/>
        <v>1912000</v>
      </c>
      <c r="H52" s="5">
        <v>24</v>
      </c>
      <c r="I52" s="5">
        <v>99.47</v>
      </c>
      <c r="J52" s="5">
        <f t="shared" si="1"/>
        <v>1.3802112417116059</v>
      </c>
      <c r="K52" s="5">
        <f t="shared" si="2"/>
        <v>6.2814878879400808</v>
      </c>
      <c r="L52" s="5"/>
      <c r="M52" s="5"/>
    </row>
    <row r="53" spans="1:13" x14ac:dyDescent="0.4">
      <c r="A53" s="5" t="s">
        <v>126</v>
      </c>
      <c r="B53" s="5" t="s">
        <v>127</v>
      </c>
      <c r="C53" s="5">
        <v>8.1132000000000009</v>
      </c>
      <c r="D53" s="5">
        <v>98.316900000000004</v>
      </c>
      <c r="E53" s="5">
        <v>813</v>
      </c>
      <c r="F53" s="5">
        <v>0.4</v>
      </c>
      <c r="G53" s="10">
        <f t="shared" si="0"/>
        <v>203250</v>
      </c>
      <c r="H53" s="5">
        <v>151</v>
      </c>
      <c r="I53" s="5">
        <v>96.64</v>
      </c>
      <c r="J53" s="5">
        <f t="shared" si="1"/>
        <v>2.1789769472931693</v>
      </c>
      <c r="K53" s="5">
        <f t="shared" si="2"/>
        <v>5.3080305542661055</v>
      </c>
      <c r="L53" s="5"/>
      <c r="M53" s="5"/>
    </row>
    <row r="54" spans="1:13" x14ac:dyDescent="0.4">
      <c r="A54" s="5" t="s">
        <v>128</v>
      </c>
      <c r="B54" s="5" t="s">
        <v>129</v>
      </c>
      <c r="C54" s="5">
        <v>37.968299999999999</v>
      </c>
      <c r="D54" s="5">
        <v>75.193299999999994</v>
      </c>
      <c r="E54" s="5">
        <v>487</v>
      </c>
      <c r="F54" s="5">
        <v>100</v>
      </c>
      <c r="G54" s="10">
        <f t="shared" si="0"/>
        <v>487</v>
      </c>
      <c r="H54" s="5">
        <v>3105</v>
      </c>
      <c r="I54" s="5">
        <v>30.82</v>
      </c>
      <c r="J54" s="5">
        <f t="shared" si="1"/>
        <v>3.4920616045125992</v>
      </c>
      <c r="K54" s="5">
        <f t="shared" si="2"/>
        <v>2.6875289612146345</v>
      </c>
      <c r="L54" s="5"/>
      <c r="M54" s="5"/>
    </row>
    <row r="55" spans="1:13" x14ac:dyDescent="0.4">
      <c r="A55" s="5" t="s">
        <v>130</v>
      </c>
      <c r="B55" s="5" t="s">
        <v>131</v>
      </c>
      <c r="C55" s="5">
        <v>37.038499999999999</v>
      </c>
      <c r="D55" s="5">
        <v>79.864900000000006</v>
      </c>
      <c r="E55" s="5">
        <v>670</v>
      </c>
      <c r="F55" s="5">
        <v>0.9</v>
      </c>
      <c r="G55" s="10">
        <f t="shared" si="0"/>
        <v>74444</v>
      </c>
      <c r="H55" s="5">
        <v>661</v>
      </c>
      <c r="I55" s="5">
        <v>85.27</v>
      </c>
      <c r="J55" s="5">
        <f t="shared" si="1"/>
        <v>2.8202014594856402</v>
      </c>
      <c r="K55" s="5">
        <f t="shared" si="2"/>
        <v>4.8718297004508848</v>
      </c>
      <c r="L55" s="5"/>
      <c r="M55" s="5"/>
    </row>
    <row r="56" spans="1:13" x14ac:dyDescent="0.4">
      <c r="A56" s="5" t="s">
        <v>132</v>
      </c>
      <c r="B56" s="5" t="s">
        <v>133</v>
      </c>
      <c r="C56" s="5">
        <v>17.231300000000001</v>
      </c>
      <c r="D56" s="5">
        <v>78.429900000000004</v>
      </c>
      <c r="E56" s="5">
        <v>1768</v>
      </c>
      <c r="F56" s="5">
        <v>0.1</v>
      </c>
      <c r="G56" s="10">
        <f t="shared" si="0"/>
        <v>1768000</v>
      </c>
      <c r="H56" s="5">
        <v>91</v>
      </c>
      <c r="I56" s="5">
        <v>97.97</v>
      </c>
      <c r="J56" s="5">
        <f t="shared" si="1"/>
        <v>1.9590413923210936</v>
      </c>
      <c r="K56" s="5">
        <f t="shared" si="2"/>
        <v>6.2474822606770539</v>
      </c>
      <c r="L56" s="5"/>
      <c r="M56" s="5"/>
    </row>
    <row r="57" spans="1:13" x14ac:dyDescent="0.4">
      <c r="A57" s="5" t="s">
        <v>134</v>
      </c>
      <c r="B57" s="5" t="s">
        <v>135</v>
      </c>
      <c r="C57" s="5">
        <v>37.469099999999997</v>
      </c>
      <c r="D57" s="5">
        <v>126.45099999999999</v>
      </c>
      <c r="E57" s="5">
        <v>1912</v>
      </c>
      <c r="F57" s="5">
        <v>0.3</v>
      </c>
      <c r="G57" s="10">
        <f t="shared" si="0"/>
        <v>637333</v>
      </c>
      <c r="H57" s="5">
        <v>12</v>
      </c>
      <c r="I57" s="5">
        <v>99.73</v>
      </c>
      <c r="J57" s="5">
        <f t="shared" si="1"/>
        <v>1.0791812460476249</v>
      </c>
      <c r="K57" s="5">
        <f t="shared" si="2"/>
        <v>5.804366406078894</v>
      </c>
      <c r="L57" s="5"/>
      <c r="M57" s="5"/>
    </row>
    <row r="58" spans="1:13" x14ac:dyDescent="0.4">
      <c r="A58" s="5" t="s">
        <v>136</v>
      </c>
      <c r="B58" s="5" t="s">
        <v>137</v>
      </c>
      <c r="C58" s="5">
        <v>35.4161</v>
      </c>
      <c r="D58" s="5">
        <v>51.152200000000001</v>
      </c>
      <c r="E58" s="5">
        <v>0</v>
      </c>
      <c r="F58" s="5">
        <v>0</v>
      </c>
      <c r="G58" s="10">
        <v>68855</v>
      </c>
      <c r="H58" s="5">
        <v>290</v>
      </c>
      <c r="I58" s="5">
        <v>93.54</v>
      </c>
      <c r="J58" s="5">
        <f t="shared" si="1"/>
        <v>2.4623979978989561</v>
      </c>
      <c r="K58" s="5">
        <f t="shared" si="2"/>
        <v>4.8379354826258458</v>
      </c>
      <c r="L58" s="5"/>
      <c r="M58" s="5"/>
    </row>
    <row r="59" spans="1:13" x14ac:dyDescent="0.4">
      <c r="A59" s="5" t="s">
        <v>138</v>
      </c>
      <c r="B59" s="5" t="s">
        <v>139</v>
      </c>
      <c r="C59" s="5">
        <v>42.587899999999998</v>
      </c>
      <c r="D59" s="5">
        <v>76.712999999999994</v>
      </c>
      <c r="E59" s="5">
        <v>651</v>
      </c>
      <c r="F59" s="5">
        <v>100</v>
      </c>
      <c r="G59" s="10">
        <f t="shared" si="0"/>
        <v>651</v>
      </c>
      <c r="H59" s="5">
        <v>2594</v>
      </c>
      <c r="I59" s="5">
        <v>42.2</v>
      </c>
      <c r="J59" s="5">
        <f t="shared" si="1"/>
        <v>3.4139699717480614</v>
      </c>
      <c r="K59" s="5">
        <f t="shared" si="2"/>
        <v>2.8135809885681922</v>
      </c>
      <c r="L59" s="5"/>
      <c r="M59" s="5"/>
    </row>
    <row r="60" spans="1:13" x14ac:dyDescent="0.4">
      <c r="A60" s="5" t="s">
        <v>140</v>
      </c>
      <c r="B60" s="5" t="s">
        <v>141</v>
      </c>
      <c r="C60" s="5">
        <v>24.76</v>
      </c>
      <c r="D60" s="5">
        <v>93.896699999999996</v>
      </c>
      <c r="E60" s="5">
        <v>1488</v>
      </c>
      <c r="F60" s="5">
        <v>8.5</v>
      </c>
      <c r="G60" s="10">
        <f t="shared" si="0"/>
        <v>17506</v>
      </c>
      <c r="H60" s="5">
        <v>833</v>
      </c>
      <c r="I60" s="5">
        <v>81.44</v>
      </c>
      <c r="J60" s="5">
        <f t="shared" si="1"/>
        <v>2.9206450014067875</v>
      </c>
      <c r="K60" s="5">
        <f t="shared" si="2"/>
        <v>4.2431869241314715</v>
      </c>
      <c r="L60" s="5"/>
      <c r="M60" s="5"/>
    </row>
    <row r="61" spans="1:13" x14ac:dyDescent="0.4">
      <c r="A61" s="5" t="s">
        <v>142</v>
      </c>
      <c r="B61" s="5" t="s">
        <v>143</v>
      </c>
      <c r="C61" s="5">
        <v>47.260199999999998</v>
      </c>
      <c r="D61" s="5">
        <v>11.343999999999999</v>
      </c>
      <c r="E61" s="5">
        <v>329</v>
      </c>
      <c r="F61" s="5">
        <v>2.2999999999999998</v>
      </c>
      <c r="G61" s="10">
        <f t="shared" si="0"/>
        <v>14304</v>
      </c>
      <c r="H61" s="5">
        <v>883</v>
      </c>
      <c r="I61" s="5">
        <v>80.33</v>
      </c>
      <c r="J61" s="5">
        <f t="shared" si="1"/>
        <v>2.9459607035775686</v>
      </c>
      <c r="K61" s="5">
        <f t="shared" si="2"/>
        <v>4.1554575014518429</v>
      </c>
      <c r="L61" s="5"/>
      <c r="M61" s="5"/>
    </row>
    <row r="62" spans="1:13" x14ac:dyDescent="0.4">
      <c r="A62" s="5" t="s">
        <v>144</v>
      </c>
      <c r="B62" s="5" t="s">
        <v>145</v>
      </c>
      <c r="C62" s="5">
        <v>57.542499999999997</v>
      </c>
      <c r="D62" s="5">
        <v>-4.0475000000000003</v>
      </c>
      <c r="E62" s="5">
        <v>704</v>
      </c>
      <c r="F62" s="5">
        <v>8.3000000000000007</v>
      </c>
      <c r="G62" s="10">
        <f t="shared" si="0"/>
        <v>8482</v>
      </c>
      <c r="H62" s="5">
        <v>1046</v>
      </c>
      <c r="I62" s="5">
        <v>76.69</v>
      </c>
      <c r="J62" s="5">
        <f t="shared" si="1"/>
        <v>3.0195316845312554</v>
      </c>
      <c r="K62" s="5">
        <f t="shared" si="2"/>
        <v>3.9284982681236906</v>
      </c>
      <c r="L62" s="5"/>
      <c r="M62" s="5"/>
    </row>
    <row r="63" spans="1:13" x14ac:dyDescent="0.4">
      <c r="A63" s="5" t="s">
        <v>146</v>
      </c>
      <c r="B63" s="5" t="s">
        <v>147</v>
      </c>
      <c r="C63" s="5">
        <v>33.560699999999997</v>
      </c>
      <c r="D63" s="5">
        <v>72.851600000000005</v>
      </c>
      <c r="E63" s="5">
        <v>1070</v>
      </c>
      <c r="F63" s="5">
        <v>0.5</v>
      </c>
      <c r="G63" s="10">
        <f t="shared" si="0"/>
        <v>214000</v>
      </c>
      <c r="H63" s="5">
        <v>327</v>
      </c>
      <c r="I63" s="5">
        <v>92.71</v>
      </c>
      <c r="J63" s="5">
        <f t="shared" si="1"/>
        <v>2.514547752660286</v>
      </c>
      <c r="K63" s="5">
        <f t="shared" si="2"/>
        <v>5.330413773349191</v>
      </c>
      <c r="L63" s="5"/>
      <c r="M63" s="5"/>
    </row>
    <row r="64" spans="1:13" x14ac:dyDescent="0.4">
      <c r="A64" s="5" t="s">
        <v>148</v>
      </c>
      <c r="B64" s="5" t="s">
        <v>149</v>
      </c>
      <c r="C64" s="5">
        <v>41.275300000000001</v>
      </c>
      <c r="D64" s="5">
        <v>28.751899999999999</v>
      </c>
      <c r="E64" s="5">
        <v>1912</v>
      </c>
      <c r="F64" s="5">
        <v>0.1</v>
      </c>
      <c r="G64" s="10">
        <f t="shared" si="0"/>
        <v>1912000</v>
      </c>
      <c r="H64" s="5">
        <v>8</v>
      </c>
      <c r="I64" s="5">
        <v>99.82</v>
      </c>
      <c r="J64" s="5">
        <f t="shared" si="1"/>
        <v>0.90308998699194354</v>
      </c>
      <c r="K64" s="5">
        <f t="shared" si="2"/>
        <v>6.2814878879400808</v>
      </c>
      <c r="L64" s="5"/>
      <c r="M64" s="5"/>
    </row>
    <row r="65" spans="1:13" x14ac:dyDescent="0.4">
      <c r="A65" s="5" t="s">
        <v>150</v>
      </c>
      <c r="B65" s="5" t="s">
        <v>151</v>
      </c>
      <c r="C65" s="5">
        <v>23.887</v>
      </c>
      <c r="D65" s="5">
        <v>91.240399999999994</v>
      </c>
      <c r="E65" s="5">
        <v>1892</v>
      </c>
      <c r="F65" s="5">
        <v>53.1</v>
      </c>
      <c r="G65" s="10">
        <f t="shared" si="0"/>
        <v>3563</v>
      </c>
      <c r="H65" s="5">
        <v>769</v>
      </c>
      <c r="I65" s="5">
        <v>82.87</v>
      </c>
      <c r="J65" s="5">
        <f t="shared" si="1"/>
        <v>2.885926339801431</v>
      </c>
      <c r="K65" s="5">
        <f t="shared" si="2"/>
        <v>3.5518158223510157</v>
      </c>
      <c r="L65" s="5"/>
      <c r="M65" s="5"/>
    </row>
    <row r="66" spans="1:13" x14ac:dyDescent="0.4">
      <c r="A66" s="5" t="s">
        <v>152</v>
      </c>
      <c r="B66" s="5" t="s">
        <v>153</v>
      </c>
      <c r="C66" s="5">
        <v>26.6812</v>
      </c>
      <c r="D66" s="5">
        <v>88.328599999999994</v>
      </c>
      <c r="E66" s="5">
        <v>1026</v>
      </c>
      <c r="F66" s="5">
        <v>0.6</v>
      </c>
      <c r="G66" s="10">
        <f t="shared" si="0"/>
        <v>171000</v>
      </c>
      <c r="H66" s="5">
        <v>497</v>
      </c>
      <c r="I66" s="5">
        <v>88.93</v>
      </c>
      <c r="J66" s="5">
        <f t="shared" si="1"/>
        <v>2.6963563887333319</v>
      </c>
      <c r="K66" s="5">
        <f t="shared" si="2"/>
        <v>5.2329961103921541</v>
      </c>
      <c r="L66" s="5"/>
      <c r="M66" s="5"/>
    </row>
    <row r="67" spans="1:13" x14ac:dyDescent="0.4">
      <c r="A67" s="5" t="s">
        <v>154</v>
      </c>
      <c r="B67" s="5" t="s">
        <v>155</v>
      </c>
      <c r="C67" s="5">
        <v>27.295500000000001</v>
      </c>
      <c r="D67" s="5">
        <v>94.0976</v>
      </c>
      <c r="E67" s="5">
        <v>414</v>
      </c>
      <c r="F67" s="5">
        <v>100</v>
      </c>
      <c r="G67" s="10">
        <f t="shared" ref="G67:G130" si="3">ROUND(IF(F67=0,"",IF(F67="","",E67/(F67/100))),0)</f>
        <v>414</v>
      </c>
      <c r="H67" s="5">
        <v>2561</v>
      </c>
      <c r="I67" s="5">
        <v>42.94</v>
      </c>
      <c r="J67" s="5">
        <f t="shared" ref="J67:J130" si="4">LOG(H67)</f>
        <v>3.4084095784684298</v>
      </c>
      <c r="K67" s="5">
        <f t="shared" ref="K67:K130" si="5">LOG(G67)</f>
        <v>2.6170003411208991</v>
      </c>
      <c r="L67" s="5"/>
      <c r="M67" s="5"/>
    </row>
    <row r="68" spans="1:13" x14ac:dyDescent="0.4">
      <c r="A68" s="5" t="s">
        <v>156</v>
      </c>
      <c r="B68" s="5" t="s">
        <v>157</v>
      </c>
      <c r="C68" s="5">
        <v>34.135899999999999</v>
      </c>
      <c r="D68" s="5">
        <v>77.546499999999995</v>
      </c>
      <c r="E68" s="5">
        <v>2180</v>
      </c>
      <c r="F68" s="5">
        <v>2.8</v>
      </c>
      <c r="G68" s="10">
        <f t="shared" si="3"/>
        <v>77857</v>
      </c>
      <c r="H68" s="5">
        <v>909</v>
      </c>
      <c r="I68" s="5">
        <v>79.75</v>
      </c>
      <c r="J68" s="5">
        <f t="shared" si="4"/>
        <v>2.9585638832219674</v>
      </c>
      <c r="K68" s="5">
        <f t="shared" si="5"/>
        <v>4.8912976653910452</v>
      </c>
      <c r="L68" s="5"/>
      <c r="M68" s="5"/>
    </row>
    <row r="69" spans="1:13" x14ac:dyDescent="0.4">
      <c r="A69" s="5" t="s">
        <v>158</v>
      </c>
      <c r="B69" s="5" t="s">
        <v>159</v>
      </c>
      <c r="C69" s="5">
        <v>24.9129</v>
      </c>
      <c r="D69" s="5">
        <v>92.978700000000003</v>
      </c>
      <c r="E69" s="5">
        <v>1048</v>
      </c>
      <c r="F69" s="5">
        <v>100</v>
      </c>
      <c r="G69" s="10">
        <f t="shared" si="3"/>
        <v>1048</v>
      </c>
      <c r="H69" s="5">
        <v>1363</v>
      </c>
      <c r="I69" s="5">
        <v>69.63</v>
      </c>
      <c r="J69" s="5">
        <f t="shared" si="4"/>
        <v>3.1344958558346736</v>
      </c>
      <c r="K69" s="5">
        <f t="shared" si="5"/>
        <v>3.0203612826477078</v>
      </c>
      <c r="L69" s="5"/>
      <c r="M69" s="5"/>
    </row>
    <row r="70" spans="1:13" x14ac:dyDescent="0.4">
      <c r="A70" s="5" t="s">
        <v>160</v>
      </c>
      <c r="B70" s="5" t="s">
        <v>161</v>
      </c>
      <c r="C70" s="5">
        <v>21.679600000000001</v>
      </c>
      <c r="D70" s="5">
        <v>39.156500000000001</v>
      </c>
      <c r="E70" s="5">
        <v>508</v>
      </c>
      <c r="F70" s="5">
        <v>0.2</v>
      </c>
      <c r="G70" s="10">
        <f t="shared" si="3"/>
        <v>254000</v>
      </c>
      <c r="H70" s="5">
        <v>36</v>
      </c>
      <c r="I70" s="5">
        <v>99.2</v>
      </c>
      <c r="J70" s="5">
        <f t="shared" si="4"/>
        <v>1.5563025007672873</v>
      </c>
      <c r="K70" s="5">
        <f t="shared" si="5"/>
        <v>5.4048337166199385</v>
      </c>
      <c r="L70" s="5"/>
      <c r="M70" s="5"/>
    </row>
    <row r="71" spans="1:13" x14ac:dyDescent="0.4">
      <c r="A71" s="5" t="s">
        <v>162</v>
      </c>
      <c r="B71" s="5" t="s">
        <v>163</v>
      </c>
      <c r="C71" s="5">
        <v>40.639800000000001</v>
      </c>
      <c r="D71" s="5">
        <v>-73.778899999999993</v>
      </c>
      <c r="E71" s="5">
        <v>972</v>
      </c>
      <c r="F71" s="5">
        <v>0.1</v>
      </c>
      <c r="G71" s="10">
        <f t="shared" si="3"/>
        <v>972000</v>
      </c>
      <c r="H71" s="5">
        <v>23</v>
      </c>
      <c r="I71" s="5">
        <v>99.49</v>
      </c>
      <c r="J71" s="5">
        <f t="shared" si="4"/>
        <v>1.3617278360175928</v>
      </c>
      <c r="K71" s="5">
        <f t="shared" si="5"/>
        <v>5.9876662649262746</v>
      </c>
      <c r="L71" s="5"/>
      <c r="M71" s="5"/>
    </row>
    <row r="72" spans="1:13" x14ac:dyDescent="0.4">
      <c r="A72" s="5" t="s">
        <v>164</v>
      </c>
      <c r="B72" s="5" t="s">
        <v>165</v>
      </c>
      <c r="C72" s="5">
        <v>-26.139199999999999</v>
      </c>
      <c r="D72" s="5">
        <v>28.245999999999999</v>
      </c>
      <c r="E72" s="5">
        <v>1211</v>
      </c>
      <c r="F72" s="5">
        <v>0.4</v>
      </c>
      <c r="G72" s="10">
        <f t="shared" si="3"/>
        <v>302750</v>
      </c>
      <c r="H72" s="5">
        <v>143</v>
      </c>
      <c r="I72" s="5">
        <v>96.81</v>
      </c>
      <c r="J72" s="5">
        <f t="shared" si="4"/>
        <v>2.1553360374650619</v>
      </c>
      <c r="K72" s="5">
        <f t="shared" si="5"/>
        <v>5.4810841518150895</v>
      </c>
      <c r="L72" s="5"/>
      <c r="M72" s="5"/>
    </row>
    <row r="73" spans="1:13" x14ac:dyDescent="0.4">
      <c r="A73" s="5" t="s">
        <v>166</v>
      </c>
      <c r="B73" s="5" t="s">
        <v>167</v>
      </c>
      <c r="C73" s="5">
        <v>26.7315</v>
      </c>
      <c r="D73" s="5">
        <v>94.1755</v>
      </c>
      <c r="E73" s="5">
        <v>1048</v>
      </c>
      <c r="F73" s="5">
        <v>100</v>
      </c>
      <c r="G73" s="10">
        <f t="shared" si="3"/>
        <v>1048</v>
      </c>
      <c r="H73" s="5">
        <v>1827</v>
      </c>
      <c r="I73" s="5">
        <v>59.29</v>
      </c>
      <c r="J73" s="5">
        <f t="shared" si="4"/>
        <v>3.2617385473525378</v>
      </c>
      <c r="K73" s="5">
        <f t="shared" si="5"/>
        <v>3.0203612826477078</v>
      </c>
      <c r="L73" s="5"/>
      <c r="M73" s="5"/>
    </row>
    <row r="74" spans="1:13" x14ac:dyDescent="0.4">
      <c r="A74" s="5" t="s">
        <v>168</v>
      </c>
      <c r="B74" s="5" t="s">
        <v>169</v>
      </c>
      <c r="C74" s="5">
        <v>34.565899999999999</v>
      </c>
      <c r="D74" s="5">
        <v>69.212299999999999</v>
      </c>
      <c r="E74" s="5">
        <v>1912</v>
      </c>
      <c r="F74" s="5">
        <v>1.2</v>
      </c>
      <c r="G74" s="10">
        <f t="shared" si="3"/>
        <v>159333</v>
      </c>
      <c r="H74" s="5">
        <v>845</v>
      </c>
      <c r="I74" s="5">
        <v>81.17</v>
      </c>
      <c r="J74" s="5">
        <f t="shared" si="4"/>
        <v>2.9268567089496922</v>
      </c>
      <c r="K74" s="5">
        <f t="shared" si="5"/>
        <v>5.2023057333256446</v>
      </c>
      <c r="L74" s="5"/>
      <c r="M74" s="5"/>
    </row>
    <row r="75" spans="1:13" x14ac:dyDescent="0.4">
      <c r="A75" s="5" t="s">
        <v>170</v>
      </c>
      <c r="B75" s="5" t="s">
        <v>171</v>
      </c>
      <c r="C75" s="5">
        <v>31.505800000000001</v>
      </c>
      <c r="D75" s="5">
        <v>65.847800000000007</v>
      </c>
      <c r="E75" s="5">
        <v>816</v>
      </c>
      <c r="F75" s="5">
        <v>2.4</v>
      </c>
      <c r="G75" s="10">
        <f t="shared" si="3"/>
        <v>34000</v>
      </c>
      <c r="H75" s="5">
        <v>648</v>
      </c>
      <c r="I75" s="5">
        <v>85.56</v>
      </c>
      <c r="J75" s="5">
        <f t="shared" si="4"/>
        <v>2.8115750058705933</v>
      </c>
      <c r="K75" s="5">
        <f t="shared" si="5"/>
        <v>4.5314789170422554</v>
      </c>
      <c r="L75" s="5"/>
      <c r="M75" s="5"/>
    </row>
    <row r="76" spans="1:13" x14ac:dyDescent="0.4">
      <c r="A76" s="5" t="s">
        <v>172</v>
      </c>
      <c r="B76" s="5" t="s">
        <v>173</v>
      </c>
      <c r="C76" s="5">
        <v>35.335500000000003</v>
      </c>
      <c r="D76" s="5">
        <v>75.536000000000001</v>
      </c>
      <c r="E76" s="5">
        <v>2180</v>
      </c>
      <c r="F76" s="5">
        <v>100</v>
      </c>
      <c r="G76" s="10">
        <f t="shared" si="3"/>
        <v>2180</v>
      </c>
      <c r="H76" s="5">
        <v>1958</v>
      </c>
      <c r="I76" s="5">
        <v>56.37</v>
      </c>
      <c r="J76" s="5">
        <f t="shared" si="4"/>
        <v>3.291812687467119</v>
      </c>
      <c r="K76" s="5">
        <f t="shared" si="5"/>
        <v>3.3384564936046046</v>
      </c>
      <c r="L76" s="5"/>
      <c r="M76" s="5"/>
    </row>
    <row r="77" spans="1:13" x14ac:dyDescent="0.4">
      <c r="A77" s="5" t="s">
        <v>174</v>
      </c>
      <c r="B77" s="5" t="s">
        <v>175</v>
      </c>
      <c r="C77" s="5">
        <v>39.542900000000003</v>
      </c>
      <c r="D77" s="5">
        <v>76.02</v>
      </c>
      <c r="E77" s="5">
        <v>1912</v>
      </c>
      <c r="F77" s="5">
        <v>1.5</v>
      </c>
      <c r="G77" s="10">
        <f t="shared" si="3"/>
        <v>127467</v>
      </c>
      <c r="H77" s="5">
        <v>352</v>
      </c>
      <c r="I77" s="5">
        <v>92.16</v>
      </c>
      <c r="J77" s="5">
        <f t="shared" si="4"/>
        <v>2.5465426634781312</v>
      </c>
      <c r="K77" s="5">
        <f t="shared" si="5"/>
        <v>5.1053977645902426</v>
      </c>
      <c r="L77" s="5"/>
      <c r="M77" s="5"/>
    </row>
    <row r="78" spans="1:13" x14ac:dyDescent="0.4">
      <c r="A78" s="5" t="s">
        <v>176</v>
      </c>
      <c r="B78" s="5" t="s">
        <v>177</v>
      </c>
      <c r="C78" s="5">
        <v>24.906500000000001</v>
      </c>
      <c r="D78" s="5">
        <v>67.160799999999995</v>
      </c>
      <c r="E78" s="5">
        <v>1894</v>
      </c>
      <c r="F78" s="5">
        <v>1</v>
      </c>
      <c r="G78" s="10">
        <f t="shared" si="3"/>
        <v>189400</v>
      </c>
      <c r="H78" s="5">
        <v>358</v>
      </c>
      <c r="I78" s="5">
        <v>92.01</v>
      </c>
      <c r="J78" s="5">
        <f t="shared" si="4"/>
        <v>2.5538830266438746</v>
      </c>
      <c r="K78" s="5">
        <f t="shared" si="5"/>
        <v>5.2773799746672543</v>
      </c>
      <c r="L78" s="5"/>
      <c r="M78" s="5"/>
    </row>
    <row r="79" spans="1:13" x14ac:dyDescent="0.4">
      <c r="A79" s="5" t="s">
        <v>178</v>
      </c>
      <c r="B79" s="5" t="s">
        <v>179</v>
      </c>
      <c r="C79" s="5">
        <v>25.101900000000001</v>
      </c>
      <c r="D79" s="5">
        <v>102.92919999999999</v>
      </c>
      <c r="E79" s="5">
        <v>1090</v>
      </c>
      <c r="F79" s="5">
        <v>0.5</v>
      </c>
      <c r="G79" s="10">
        <f t="shared" si="3"/>
        <v>218000</v>
      </c>
      <c r="H79" s="5">
        <v>44</v>
      </c>
      <c r="I79" s="5">
        <v>99.02</v>
      </c>
      <c r="J79" s="5">
        <f t="shared" si="4"/>
        <v>1.6434526764861874</v>
      </c>
      <c r="K79" s="5">
        <f t="shared" si="5"/>
        <v>5.3384564936046051</v>
      </c>
      <c r="L79" s="5"/>
      <c r="M79" s="5"/>
    </row>
    <row r="80" spans="1:13" x14ac:dyDescent="0.4">
      <c r="A80" s="5" t="s">
        <v>180</v>
      </c>
      <c r="B80" s="5" t="s">
        <v>181</v>
      </c>
      <c r="C80" s="5">
        <v>11.3629</v>
      </c>
      <c r="D80" s="5">
        <v>104.9166</v>
      </c>
      <c r="E80" s="5">
        <v>816</v>
      </c>
      <c r="F80" s="5">
        <v>0.6</v>
      </c>
      <c r="G80" s="10">
        <f t="shared" si="3"/>
        <v>136000</v>
      </c>
      <c r="H80" s="5">
        <v>379</v>
      </c>
      <c r="I80" s="5">
        <v>91.56</v>
      </c>
      <c r="J80" s="5">
        <f t="shared" si="4"/>
        <v>2.5786392099680722</v>
      </c>
      <c r="K80" s="5">
        <f t="shared" si="5"/>
        <v>5.1335389083702179</v>
      </c>
      <c r="L80" s="5"/>
      <c r="M80" s="5"/>
    </row>
    <row r="81" spans="1:13" x14ac:dyDescent="0.4">
      <c r="A81" s="5" t="s">
        <v>182</v>
      </c>
      <c r="B81" s="5" t="s">
        <v>183</v>
      </c>
      <c r="C81" s="5">
        <v>27.6966</v>
      </c>
      <c r="D81" s="5">
        <v>85.359099999999998</v>
      </c>
      <c r="E81" s="5">
        <v>161766</v>
      </c>
      <c r="F81" s="5">
        <v>51.7</v>
      </c>
      <c r="G81" s="10">
        <f t="shared" si="3"/>
        <v>312894</v>
      </c>
      <c r="H81" s="5">
        <v>252</v>
      </c>
      <c r="I81" s="5">
        <v>94.39</v>
      </c>
      <c r="J81" s="5">
        <f t="shared" si="4"/>
        <v>2.4014005407815442</v>
      </c>
      <c r="K81" s="5">
        <f t="shared" si="5"/>
        <v>5.4953972352718718</v>
      </c>
      <c r="L81" s="5"/>
      <c r="M81" s="5"/>
    </row>
    <row r="82" spans="1:13" x14ac:dyDescent="0.4">
      <c r="A82" s="5" t="s">
        <v>184</v>
      </c>
      <c r="B82" s="5" t="s">
        <v>185</v>
      </c>
      <c r="C82" s="5">
        <v>2.7456</v>
      </c>
      <c r="D82" s="5">
        <v>101.71</v>
      </c>
      <c r="E82" s="5">
        <v>2028</v>
      </c>
      <c r="F82" s="5">
        <v>0.4</v>
      </c>
      <c r="G82" s="10">
        <f t="shared" si="3"/>
        <v>507000</v>
      </c>
      <c r="H82" s="5">
        <v>20</v>
      </c>
      <c r="I82" s="5">
        <v>99.55</v>
      </c>
      <c r="J82" s="5">
        <f t="shared" si="4"/>
        <v>1.3010299956639813</v>
      </c>
      <c r="K82" s="5">
        <f t="shared" si="5"/>
        <v>5.7050079593333356</v>
      </c>
      <c r="L82" s="5"/>
      <c r="M82" s="5"/>
    </row>
    <row r="83" spans="1:13" x14ac:dyDescent="0.4">
      <c r="A83" s="5" t="s">
        <v>186</v>
      </c>
      <c r="B83" s="5" t="s">
        <v>187</v>
      </c>
      <c r="C83" s="5">
        <v>33.942500000000003</v>
      </c>
      <c r="D83" s="5">
        <v>-118.408</v>
      </c>
      <c r="E83" s="5">
        <v>1742</v>
      </c>
      <c r="F83" s="5">
        <v>0.1</v>
      </c>
      <c r="G83" s="10">
        <f t="shared" si="3"/>
        <v>1742000</v>
      </c>
      <c r="H83" s="5">
        <v>13</v>
      </c>
      <c r="I83" s="5">
        <v>99.71</v>
      </c>
      <c r="J83" s="5">
        <f t="shared" si="4"/>
        <v>1.1139433523068367</v>
      </c>
      <c r="K83" s="5">
        <f t="shared" si="5"/>
        <v>6.2410481506716442</v>
      </c>
      <c r="L83" s="5"/>
      <c r="M83" s="5"/>
    </row>
    <row r="84" spans="1:13" x14ac:dyDescent="0.4">
      <c r="A84" s="5" t="s">
        <v>188</v>
      </c>
      <c r="B84" s="5" t="s">
        <v>189</v>
      </c>
      <c r="C84" s="5">
        <v>31.521599999999999</v>
      </c>
      <c r="D84" s="5">
        <v>74.403599999999997</v>
      </c>
      <c r="E84" s="5">
        <v>1912</v>
      </c>
      <c r="F84" s="5">
        <v>1.1000000000000001</v>
      </c>
      <c r="G84" s="10">
        <f t="shared" si="3"/>
        <v>173818</v>
      </c>
      <c r="H84" s="5">
        <v>442</v>
      </c>
      <c r="I84" s="5">
        <v>90.15</v>
      </c>
      <c r="J84" s="5">
        <f t="shared" si="4"/>
        <v>2.6454222693490919</v>
      </c>
      <c r="K84" s="5">
        <f t="shared" si="5"/>
        <v>5.2400947484986879</v>
      </c>
      <c r="L84" s="5"/>
      <c r="M84" s="5"/>
    </row>
    <row r="85" spans="1:13" x14ac:dyDescent="0.4">
      <c r="A85" s="5" t="s">
        <v>190</v>
      </c>
      <c r="B85" s="5" t="s">
        <v>191</v>
      </c>
      <c r="C85" s="5">
        <v>51.470599999999997</v>
      </c>
      <c r="D85" s="5">
        <v>-0.46189999999999998</v>
      </c>
      <c r="E85" s="5">
        <v>1499</v>
      </c>
      <c r="F85" s="5">
        <v>0.1</v>
      </c>
      <c r="G85" s="10">
        <f t="shared" si="3"/>
        <v>1499000</v>
      </c>
      <c r="H85" s="5">
        <v>7</v>
      </c>
      <c r="I85" s="5">
        <v>99.84</v>
      </c>
      <c r="J85" s="5">
        <f t="shared" si="4"/>
        <v>0.84509804001425681</v>
      </c>
      <c r="K85" s="5">
        <f t="shared" si="5"/>
        <v>6.1758016328482794</v>
      </c>
      <c r="L85" s="5"/>
      <c r="M85" s="5"/>
    </row>
    <row r="86" spans="1:13" x14ac:dyDescent="0.4">
      <c r="A86" s="5" t="s">
        <v>192</v>
      </c>
      <c r="B86" s="5" t="s">
        <v>193</v>
      </c>
      <c r="C86" s="5">
        <v>19.897300000000001</v>
      </c>
      <c r="D86" s="5">
        <v>102.161</v>
      </c>
      <c r="E86" s="5">
        <v>762</v>
      </c>
      <c r="F86" s="5">
        <v>5.0999999999999996</v>
      </c>
      <c r="G86" s="10">
        <f t="shared" si="3"/>
        <v>14941</v>
      </c>
      <c r="H86" s="5">
        <v>945</v>
      </c>
      <c r="I86" s="5">
        <v>78.94</v>
      </c>
      <c r="J86" s="5">
        <f t="shared" si="4"/>
        <v>2.975431808509263</v>
      </c>
      <c r="K86" s="5">
        <f t="shared" si="5"/>
        <v>4.1743796657489867</v>
      </c>
      <c r="L86" s="5"/>
      <c r="M86" s="5"/>
    </row>
    <row r="87" spans="1:13" x14ac:dyDescent="0.4">
      <c r="A87" s="5" t="s">
        <v>194</v>
      </c>
      <c r="B87" s="5" t="s">
        <v>195</v>
      </c>
      <c r="C87" s="5">
        <v>29.297799999999999</v>
      </c>
      <c r="D87" s="5">
        <v>90.911900000000003</v>
      </c>
      <c r="E87" s="5">
        <v>2524</v>
      </c>
      <c r="F87" s="5">
        <v>1.7</v>
      </c>
      <c r="G87" s="10">
        <f t="shared" si="3"/>
        <v>148471</v>
      </c>
      <c r="H87" s="5">
        <v>319</v>
      </c>
      <c r="I87" s="5">
        <v>92.89</v>
      </c>
      <c r="J87" s="5">
        <f t="shared" si="4"/>
        <v>2.503790683057181</v>
      </c>
      <c r="K87" s="5">
        <f t="shared" si="5"/>
        <v>5.1716416336538691</v>
      </c>
      <c r="L87" s="5"/>
      <c r="M87" s="5"/>
    </row>
    <row r="88" spans="1:13" x14ac:dyDescent="0.4">
      <c r="A88" s="5" t="s">
        <v>196</v>
      </c>
      <c r="B88" s="5" t="s">
        <v>197</v>
      </c>
      <c r="C88" s="5">
        <v>78.246099999999998</v>
      </c>
      <c r="D88" s="5">
        <v>15.4656</v>
      </c>
      <c r="E88" s="5">
        <v>313</v>
      </c>
      <c r="F88" s="5">
        <v>2</v>
      </c>
      <c r="G88" s="10">
        <f t="shared" si="3"/>
        <v>15650</v>
      </c>
      <c r="H88" s="5">
        <v>1869</v>
      </c>
      <c r="I88" s="5">
        <v>58.36</v>
      </c>
      <c r="J88" s="5">
        <f t="shared" si="4"/>
        <v>3.2716093013788319</v>
      </c>
      <c r="K88" s="5">
        <f t="shared" si="5"/>
        <v>4.1945143418824671</v>
      </c>
      <c r="L88" s="5"/>
      <c r="M88" s="5"/>
    </row>
    <row r="89" spans="1:13" x14ac:dyDescent="0.4">
      <c r="A89" s="5" t="s">
        <v>198</v>
      </c>
      <c r="B89" s="5" t="s">
        <v>199</v>
      </c>
      <c r="C89" s="5">
        <v>29.3033</v>
      </c>
      <c r="D89" s="5">
        <v>94.335300000000004</v>
      </c>
      <c r="E89" s="5">
        <v>1768</v>
      </c>
      <c r="F89" s="5">
        <v>9.1</v>
      </c>
      <c r="G89" s="10">
        <f t="shared" si="3"/>
        <v>19429</v>
      </c>
      <c r="H89" s="5">
        <v>955</v>
      </c>
      <c r="I89" s="5">
        <v>78.72</v>
      </c>
      <c r="J89" s="5">
        <f t="shared" si="4"/>
        <v>2.9800033715837464</v>
      </c>
      <c r="K89" s="5">
        <f t="shared" si="5"/>
        <v>4.2884504482756363</v>
      </c>
      <c r="L89" s="5"/>
      <c r="M89" s="5"/>
    </row>
    <row r="90" spans="1:13" x14ac:dyDescent="0.4">
      <c r="A90" s="5" t="s">
        <v>200</v>
      </c>
      <c r="B90" s="5" t="s">
        <v>201</v>
      </c>
      <c r="C90" s="5">
        <v>12.99</v>
      </c>
      <c r="D90" s="5">
        <v>80.169300000000007</v>
      </c>
      <c r="E90" s="5">
        <v>2048</v>
      </c>
      <c r="F90" s="5">
        <v>0.1</v>
      </c>
      <c r="G90" s="10">
        <f t="shared" si="3"/>
        <v>2048000</v>
      </c>
      <c r="H90" s="5">
        <v>131</v>
      </c>
      <c r="I90" s="5">
        <v>97.08</v>
      </c>
      <c r="J90" s="5">
        <f t="shared" si="4"/>
        <v>2.1172712956557644</v>
      </c>
      <c r="K90" s="5">
        <f t="shared" si="5"/>
        <v>6.3113299523037929</v>
      </c>
      <c r="L90" s="5"/>
      <c r="M90" s="5"/>
    </row>
    <row r="91" spans="1:13" x14ac:dyDescent="0.4">
      <c r="A91" s="5" t="s">
        <v>202</v>
      </c>
      <c r="B91" s="5" t="s">
        <v>203</v>
      </c>
      <c r="C91" s="5">
        <v>23.593299999999999</v>
      </c>
      <c r="D91" s="5">
        <v>58.284399999999998</v>
      </c>
      <c r="E91" s="5">
        <v>1072</v>
      </c>
      <c r="F91" s="5">
        <v>0.5</v>
      </c>
      <c r="G91" s="10">
        <f t="shared" si="3"/>
        <v>214400</v>
      </c>
      <c r="H91" s="5">
        <v>186</v>
      </c>
      <c r="I91" s="5">
        <v>95.86</v>
      </c>
      <c r="J91" s="5">
        <f t="shared" si="4"/>
        <v>2.2695129442179165</v>
      </c>
      <c r="K91" s="5">
        <f t="shared" si="5"/>
        <v>5.3312247810207323</v>
      </c>
      <c r="L91" s="5"/>
      <c r="M91" s="5"/>
    </row>
    <row r="92" spans="1:13" x14ac:dyDescent="0.4">
      <c r="A92" s="5" t="s">
        <v>204</v>
      </c>
      <c r="B92" s="5" t="s">
        <v>205</v>
      </c>
      <c r="C92" s="5">
        <v>21.702200000000001</v>
      </c>
      <c r="D92" s="5">
        <v>95.977900000000005</v>
      </c>
      <c r="E92" s="5">
        <v>1519</v>
      </c>
      <c r="F92" s="5">
        <v>9.1999999999999993</v>
      </c>
      <c r="G92" s="10">
        <f t="shared" si="3"/>
        <v>16511</v>
      </c>
      <c r="H92" s="5">
        <v>793</v>
      </c>
      <c r="I92" s="5">
        <v>82.33</v>
      </c>
      <c r="J92" s="5">
        <f t="shared" si="4"/>
        <v>2.8992731873176036</v>
      </c>
      <c r="K92" s="5">
        <f t="shared" si="5"/>
        <v>4.2177733774014952</v>
      </c>
      <c r="L92" s="5"/>
      <c r="M92" s="5"/>
    </row>
    <row r="93" spans="1:13" x14ac:dyDescent="0.4">
      <c r="A93" s="5" t="s">
        <v>206</v>
      </c>
      <c r="B93" s="5" t="s">
        <v>207</v>
      </c>
      <c r="C93" s="5">
        <v>4.1917999999999997</v>
      </c>
      <c r="D93" s="5">
        <v>73.5291</v>
      </c>
      <c r="E93" s="5">
        <v>2198</v>
      </c>
      <c r="F93" s="5">
        <v>0.7</v>
      </c>
      <c r="G93" s="10">
        <f t="shared" si="3"/>
        <v>314000</v>
      </c>
      <c r="H93" s="5">
        <v>375</v>
      </c>
      <c r="I93" s="5">
        <v>91.64</v>
      </c>
      <c r="J93" s="5">
        <f t="shared" si="4"/>
        <v>2.5740312677277188</v>
      </c>
      <c r="K93" s="5">
        <f t="shared" si="5"/>
        <v>5.4969296480732153</v>
      </c>
      <c r="L93" s="5"/>
      <c r="M93" s="5"/>
    </row>
    <row r="94" spans="1:13" x14ac:dyDescent="0.4">
      <c r="A94" s="5" t="s">
        <v>208</v>
      </c>
      <c r="B94" s="5" t="s">
        <v>209</v>
      </c>
      <c r="C94" s="5">
        <v>14.508599999999999</v>
      </c>
      <c r="D94" s="5">
        <v>121.02</v>
      </c>
      <c r="E94" s="5">
        <v>889</v>
      </c>
      <c r="F94" s="5">
        <v>0.1</v>
      </c>
      <c r="G94" s="10">
        <f t="shared" si="3"/>
        <v>889000</v>
      </c>
      <c r="H94" s="5">
        <v>38</v>
      </c>
      <c r="I94" s="5">
        <v>99.15</v>
      </c>
      <c r="J94" s="5">
        <f t="shared" si="4"/>
        <v>1.5797835966168101</v>
      </c>
      <c r="K94" s="5">
        <f t="shared" si="5"/>
        <v>5.9489017609702133</v>
      </c>
      <c r="L94" s="5"/>
      <c r="M94" s="5"/>
    </row>
    <row r="95" spans="1:13" x14ac:dyDescent="0.4">
      <c r="A95" s="5" t="s">
        <v>210</v>
      </c>
      <c r="B95" s="5" t="s">
        <v>211</v>
      </c>
      <c r="C95" s="5">
        <v>25.383600000000001</v>
      </c>
      <c r="D95" s="5">
        <v>97.351900000000001</v>
      </c>
      <c r="E95" s="5">
        <v>508</v>
      </c>
      <c r="F95" s="5">
        <v>100</v>
      </c>
      <c r="G95" s="10">
        <f t="shared" si="3"/>
        <v>508</v>
      </c>
      <c r="H95" s="5">
        <v>1967</v>
      </c>
      <c r="I95" s="5">
        <v>56.17</v>
      </c>
      <c r="J95" s="5">
        <f t="shared" si="4"/>
        <v>3.2938043599193367</v>
      </c>
      <c r="K95" s="5">
        <f t="shared" si="5"/>
        <v>2.7058637122839193</v>
      </c>
      <c r="L95" s="5"/>
      <c r="M95" s="5"/>
    </row>
    <row r="96" spans="1:13" x14ac:dyDescent="0.4">
      <c r="A96" s="5" t="s">
        <v>212</v>
      </c>
      <c r="B96" s="5" t="s">
        <v>213</v>
      </c>
      <c r="C96" s="5">
        <v>32.1</v>
      </c>
      <c r="D96" s="5">
        <v>80.053100000000001</v>
      </c>
      <c r="E96" s="5">
        <v>1764</v>
      </c>
      <c r="F96" s="5">
        <v>100</v>
      </c>
      <c r="G96" s="10">
        <f t="shared" si="3"/>
        <v>1764</v>
      </c>
      <c r="H96" s="5">
        <v>1758</v>
      </c>
      <c r="I96" s="5">
        <v>60.83</v>
      </c>
      <c r="J96" s="5">
        <f t="shared" si="4"/>
        <v>3.245018870737753</v>
      </c>
      <c r="K96" s="5">
        <f t="shared" si="5"/>
        <v>3.2464985807958011</v>
      </c>
      <c r="L96" s="5"/>
      <c r="M96" s="5"/>
    </row>
    <row r="97" spans="1:13" x14ac:dyDescent="0.4">
      <c r="A97" s="5" t="s">
        <v>214</v>
      </c>
      <c r="B97" s="5" t="s">
        <v>215</v>
      </c>
      <c r="C97" s="5">
        <v>40.9846</v>
      </c>
      <c r="D97" s="5">
        <v>71.556700000000006</v>
      </c>
      <c r="E97" s="5">
        <v>1090</v>
      </c>
      <c r="F97" s="5">
        <v>7.1</v>
      </c>
      <c r="G97" s="10">
        <f t="shared" si="3"/>
        <v>15352</v>
      </c>
      <c r="H97" s="5">
        <v>2082</v>
      </c>
      <c r="I97" s="5">
        <v>53.61</v>
      </c>
      <c r="J97" s="5">
        <f t="shared" si="4"/>
        <v>3.3184807251745174</v>
      </c>
      <c r="K97" s="5">
        <f t="shared" si="5"/>
        <v>4.1861649617274148</v>
      </c>
      <c r="L97" s="5"/>
      <c r="M97" s="5"/>
    </row>
    <row r="98" spans="1:13" x14ac:dyDescent="0.4">
      <c r="A98" s="5" t="s">
        <v>216</v>
      </c>
      <c r="B98" s="5" t="s">
        <v>217</v>
      </c>
      <c r="C98" s="5">
        <v>51.022199999999998</v>
      </c>
      <c r="D98" s="5">
        <v>71.466899999999995</v>
      </c>
      <c r="E98" s="5">
        <v>762</v>
      </c>
      <c r="F98" s="5">
        <v>0.7</v>
      </c>
      <c r="G98" s="10">
        <f t="shared" si="3"/>
        <v>108857</v>
      </c>
      <c r="H98" s="5">
        <v>266</v>
      </c>
      <c r="I98" s="5">
        <v>94.07</v>
      </c>
      <c r="J98" s="5">
        <f t="shared" si="4"/>
        <v>2.424881636631067</v>
      </c>
      <c r="K98" s="5">
        <f t="shared" si="5"/>
        <v>5.0368563613847046</v>
      </c>
      <c r="L98" s="5"/>
      <c r="M98" s="5"/>
    </row>
    <row r="99" spans="1:13" x14ac:dyDescent="0.4">
      <c r="A99" s="5" t="s">
        <v>218</v>
      </c>
      <c r="B99" s="5" t="s">
        <v>219</v>
      </c>
      <c r="C99" s="5">
        <v>35.764699999999998</v>
      </c>
      <c r="D99" s="5">
        <v>140.386</v>
      </c>
      <c r="E99" s="5">
        <v>1912</v>
      </c>
      <c r="F99" s="5">
        <v>0.3</v>
      </c>
      <c r="G99" s="10">
        <f t="shared" si="3"/>
        <v>637333</v>
      </c>
      <c r="H99" s="5">
        <v>60</v>
      </c>
      <c r="I99" s="5">
        <v>98.66</v>
      </c>
      <c r="J99" s="5">
        <f t="shared" si="4"/>
        <v>1.7781512503836436</v>
      </c>
      <c r="K99" s="5">
        <f t="shared" si="5"/>
        <v>5.804366406078894</v>
      </c>
      <c r="L99" s="5"/>
      <c r="M99" s="5"/>
    </row>
    <row r="100" spans="1:13" x14ac:dyDescent="0.4">
      <c r="A100" s="5" t="s">
        <v>220</v>
      </c>
      <c r="B100" s="5" t="s">
        <v>221</v>
      </c>
      <c r="C100" s="5">
        <v>27.958600000000001</v>
      </c>
      <c r="D100" s="5">
        <v>35.320900000000002</v>
      </c>
      <c r="E100" s="5">
        <v>340</v>
      </c>
      <c r="F100" s="5">
        <v>100</v>
      </c>
      <c r="G100" s="10">
        <f t="shared" si="3"/>
        <v>340</v>
      </c>
      <c r="H100" s="5">
        <v>2794</v>
      </c>
      <c r="I100" s="5">
        <v>37.75</v>
      </c>
      <c r="J100" s="5">
        <f t="shared" si="4"/>
        <v>3.446226401778163</v>
      </c>
      <c r="K100" s="5">
        <f t="shared" si="5"/>
        <v>2.5314789170422549</v>
      </c>
      <c r="L100" s="5"/>
      <c r="M100" s="5"/>
    </row>
    <row r="101" spans="1:13" x14ac:dyDescent="0.4">
      <c r="A101" s="5" t="s">
        <v>222</v>
      </c>
      <c r="B101" s="5" t="s">
        <v>223</v>
      </c>
      <c r="C101" s="5">
        <v>19.6235</v>
      </c>
      <c r="D101" s="5">
        <v>96.200999999999993</v>
      </c>
      <c r="E101" s="5">
        <v>753</v>
      </c>
      <c r="F101" s="5">
        <v>1.8</v>
      </c>
      <c r="G101" s="10">
        <f t="shared" si="3"/>
        <v>41833</v>
      </c>
      <c r="H101" s="5">
        <v>517</v>
      </c>
      <c r="I101" s="5">
        <v>88.48</v>
      </c>
      <c r="J101" s="5">
        <f t="shared" si="4"/>
        <v>2.7134905430939424</v>
      </c>
      <c r="K101" s="5">
        <f t="shared" si="5"/>
        <v>4.6215190105698074</v>
      </c>
      <c r="L101" s="5"/>
      <c r="M101" s="5"/>
    </row>
    <row r="102" spans="1:13" x14ac:dyDescent="0.4">
      <c r="A102" s="5" t="s">
        <v>224</v>
      </c>
      <c r="B102" s="5" t="s">
        <v>225</v>
      </c>
      <c r="C102" s="5">
        <v>40.609000000000002</v>
      </c>
      <c r="D102" s="5">
        <v>72.793300000000002</v>
      </c>
      <c r="E102" s="5">
        <v>816</v>
      </c>
      <c r="F102" s="5">
        <v>7.6</v>
      </c>
      <c r="G102" s="10">
        <f t="shared" si="3"/>
        <v>10737</v>
      </c>
      <c r="H102" s="5">
        <v>841</v>
      </c>
      <c r="I102" s="5">
        <v>81.260000000000005</v>
      </c>
      <c r="J102" s="5">
        <f t="shared" si="4"/>
        <v>2.9247959957979122</v>
      </c>
      <c r="K102" s="5">
        <f t="shared" si="5"/>
        <v>4.0308829531096668</v>
      </c>
      <c r="L102" s="5"/>
      <c r="M102" s="5"/>
    </row>
    <row r="103" spans="1:13" x14ac:dyDescent="0.4">
      <c r="A103" s="5" t="s">
        <v>226</v>
      </c>
      <c r="B103" s="5" t="s">
        <v>227</v>
      </c>
      <c r="C103" s="5">
        <v>27.403199999999998</v>
      </c>
      <c r="D103" s="5">
        <v>89.424599999999998</v>
      </c>
      <c r="E103" s="5">
        <v>4742</v>
      </c>
      <c r="F103" s="5">
        <v>6.1</v>
      </c>
      <c r="G103" s="10">
        <f t="shared" si="3"/>
        <v>77738</v>
      </c>
      <c r="H103" s="5">
        <v>1780</v>
      </c>
      <c r="I103" s="5">
        <v>60.34</v>
      </c>
      <c r="J103" s="5">
        <f t="shared" si="4"/>
        <v>3.2504200023088941</v>
      </c>
      <c r="K103" s="5">
        <f t="shared" si="5"/>
        <v>4.8906333631522454</v>
      </c>
      <c r="L103" s="5"/>
      <c r="M103" s="5"/>
    </row>
    <row r="104" spans="1:13" x14ac:dyDescent="0.4">
      <c r="A104" s="5" t="s">
        <v>228</v>
      </c>
      <c r="B104" s="5" t="s">
        <v>229</v>
      </c>
      <c r="C104" s="5">
        <v>40.080100000000002</v>
      </c>
      <c r="D104" s="5">
        <v>116.58499999999999</v>
      </c>
      <c r="E104" s="5">
        <v>2180</v>
      </c>
      <c r="F104" s="5">
        <v>0.1</v>
      </c>
      <c r="G104" s="10">
        <f t="shared" si="3"/>
        <v>2180000</v>
      </c>
      <c r="H104" s="5">
        <v>15</v>
      </c>
      <c r="I104" s="5">
        <v>99.67</v>
      </c>
      <c r="J104" s="5">
        <f t="shared" si="4"/>
        <v>1.1760912590556813</v>
      </c>
      <c r="K104" s="5">
        <f t="shared" si="5"/>
        <v>6.3384564936046051</v>
      </c>
      <c r="L104" s="5"/>
      <c r="M104" s="5"/>
    </row>
    <row r="105" spans="1:13" x14ac:dyDescent="0.4">
      <c r="A105" s="5" t="s">
        <v>230</v>
      </c>
      <c r="B105" s="5" t="s">
        <v>231</v>
      </c>
      <c r="C105" s="5">
        <v>33.993899999999996</v>
      </c>
      <c r="D105" s="5">
        <v>71.514600000000002</v>
      </c>
      <c r="E105" s="5">
        <v>536</v>
      </c>
      <c r="F105" s="5">
        <v>1.3</v>
      </c>
      <c r="G105" s="10">
        <f t="shared" si="3"/>
        <v>41231</v>
      </c>
      <c r="H105" s="5">
        <v>738</v>
      </c>
      <c r="I105" s="5">
        <v>83.56</v>
      </c>
      <c r="J105" s="5">
        <f t="shared" si="4"/>
        <v>2.8680563618230415</v>
      </c>
      <c r="K105" s="5">
        <f t="shared" si="5"/>
        <v>4.6152238681318281</v>
      </c>
      <c r="L105" s="5"/>
      <c r="M105" s="5"/>
    </row>
    <row r="106" spans="1:13" x14ac:dyDescent="0.4">
      <c r="A106" s="5" t="s">
        <v>232</v>
      </c>
      <c r="B106" s="5" t="s">
        <v>233</v>
      </c>
      <c r="C106" s="5">
        <v>28.200199999999999</v>
      </c>
      <c r="D106" s="5">
        <v>83.982600000000005</v>
      </c>
      <c r="E106" s="5">
        <v>360</v>
      </c>
      <c r="F106" s="5">
        <v>100</v>
      </c>
      <c r="G106" s="10">
        <f t="shared" si="3"/>
        <v>360</v>
      </c>
      <c r="H106" s="5">
        <v>1842</v>
      </c>
      <c r="I106" s="5">
        <v>58.96</v>
      </c>
      <c r="J106" s="5">
        <f t="shared" si="4"/>
        <v>3.2652896258608299</v>
      </c>
      <c r="K106" s="5">
        <f t="shared" si="5"/>
        <v>2.5563025007672873</v>
      </c>
      <c r="L106" s="5"/>
      <c r="M106" s="5"/>
    </row>
    <row r="107" spans="1:13" x14ac:dyDescent="0.4">
      <c r="A107" s="5" t="s">
        <v>234</v>
      </c>
      <c r="B107" s="5" t="s">
        <v>235</v>
      </c>
      <c r="C107" s="5">
        <v>31.1434</v>
      </c>
      <c r="D107" s="5">
        <v>121.80500000000001</v>
      </c>
      <c r="E107" s="5">
        <v>1084</v>
      </c>
      <c r="F107" s="5">
        <v>0.1</v>
      </c>
      <c r="G107" s="10">
        <f t="shared" si="3"/>
        <v>1084000</v>
      </c>
      <c r="H107" s="5">
        <v>5</v>
      </c>
      <c r="I107" s="5">
        <v>99.89</v>
      </c>
      <c r="J107" s="5">
        <f t="shared" si="4"/>
        <v>0.69897000433601886</v>
      </c>
      <c r="K107" s="5">
        <f t="shared" si="5"/>
        <v>6.0350292822023679</v>
      </c>
      <c r="L107" s="5"/>
      <c r="M107" s="5"/>
    </row>
    <row r="108" spans="1:13" x14ac:dyDescent="0.4">
      <c r="A108" s="5" t="s">
        <v>236</v>
      </c>
      <c r="B108" s="5" t="s">
        <v>237</v>
      </c>
      <c r="C108" s="5">
        <v>16.907299999999999</v>
      </c>
      <c r="D108" s="5">
        <v>96.133200000000002</v>
      </c>
      <c r="E108" s="5">
        <v>1912</v>
      </c>
      <c r="F108" s="5">
        <v>1</v>
      </c>
      <c r="G108" s="10">
        <f t="shared" si="3"/>
        <v>191200</v>
      </c>
      <c r="H108" s="5">
        <v>451</v>
      </c>
      <c r="I108" s="5">
        <v>89.95</v>
      </c>
      <c r="J108" s="5">
        <f t="shared" si="4"/>
        <v>2.6541765418779604</v>
      </c>
      <c r="K108" s="5">
        <f t="shared" si="5"/>
        <v>5.2814878879400808</v>
      </c>
      <c r="L108" s="5"/>
      <c r="M108" s="5"/>
    </row>
    <row r="109" spans="1:13" x14ac:dyDescent="0.4">
      <c r="A109" s="5" t="s">
        <v>238</v>
      </c>
      <c r="B109" s="5" t="s">
        <v>239</v>
      </c>
      <c r="C109" s="5">
        <v>29.351900000000001</v>
      </c>
      <c r="D109" s="5">
        <v>89.311400000000006</v>
      </c>
      <c r="E109" s="5">
        <v>450</v>
      </c>
      <c r="F109" s="5">
        <v>100</v>
      </c>
      <c r="G109" s="10">
        <f t="shared" si="3"/>
        <v>450</v>
      </c>
      <c r="H109" s="5">
        <v>1963</v>
      </c>
      <c r="I109" s="5">
        <v>56.26</v>
      </c>
      <c r="J109" s="5">
        <f t="shared" si="4"/>
        <v>3.2929202996000062</v>
      </c>
      <c r="K109" s="5">
        <f t="shared" si="5"/>
        <v>2.6532125137753435</v>
      </c>
      <c r="L109" s="5"/>
      <c r="M109" s="5"/>
    </row>
    <row r="110" spans="1:13" x14ac:dyDescent="0.4">
      <c r="A110" s="5" t="s">
        <v>240</v>
      </c>
      <c r="B110" s="5" t="s">
        <v>241</v>
      </c>
      <c r="C110" s="5">
        <v>7.3673000000000002</v>
      </c>
      <c r="D110" s="5">
        <v>134.54419999999999</v>
      </c>
      <c r="E110" s="5">
        <v>328</v>
      </c>
      <c r="F110" s="5">
        <v>4.8</v>
      </c>
      <c r="G110" s="10">
        <f t="shared" si="3"/>
        <v>6833</v>
      </c>
      <c r="H110" s="5">
        <v>1379</v>
      </c>
      <c r="I110" s="5">
        <v>69.27</v>
      </c>
      <c r="J110" s="5">
        <f t="shared" si="4"/>
        <v>3.1395642661758498</v>
      </c>
      <c r="K110" s="5">
        <f t="shared" si="5"/>
        <v>3.8346114207226871</v>
      </c>
      <c r="L110" s="5"/>
      <c r="M110" s="5"/>
    </row>
    <row r="111" spans="1:13" x14ac:dyDescent="0.4">
      <c r="A111" s="5" t="s">
        <v>242</v>
      </c>
      <c r="B111" s="5" t="s">
        <v>243</v>
      </c>
      <c r="C111" s="5">
        <v>24.957599999999999</v>
      </c>
      <c r="D111" s="5">
        <v>46.698799999999999</v>
      </c>
      <c r="E111" s="5">
        <v>1070</v>
      </c>
      <c r="F111" s="5">
        <v>0.3</v>
      </c>
      <c r="G111" s="10">
        <f t="shared" si="3"/>
        <v>356667</v>
      </c>
      <c r="H111" s="5">
        <v>99</v>
      </c>
      <c r="I111" s="5">
        <v>97.79</v>
      </c>
      <c r="J111" s="5">
        <f t="shared" si="4"/>
        <v>1.9956351945975499</v>
      </c>
      <c r="K111" s="5">
        <f t="shared" si="5"/>
        <v>5.5522629288480507</v>
      </c>
      <c r="L111" s="5"/>
      <c r="M111" s="5"/>
    </row>
    <row r="112" spans="1:13" x14ac:dyDescent="0.4">
      <c r="A112" s="5" t="s">
        <v>244</v>
      </c>
      <c r="B112" s="5" t="s">
        <v>245</v>
      </c>
      <c r="C112" s="5">
        <v>66.564800000000005</v>
      </c>
      <c r="D112" s="5">
        <v>25.830400000000001</v>
      </c>
      <c r="E112" s="5">
        <v>330</v>
      </c>
      <c r="F112" s="5">
        <v>2.2000000000000002</v>
      </c>
      <c r="G112" s="10">
        <f t="shared" si="3"/>
        <v>15000</v>
      </c>
      <c r="H112" s="5">
        <v>969</v>
      </c>
      <c r="I112" s="5">
        <v>78.41</v>
      </c>
      <c r="J112" s="5">
        <f t="shared" si="4"/>
        <v>2.9863237770507651</v>
      </c>
      <c r="K112" s="5">
        <f t="shared" si="5"/>
        <v>4.1760912590556813</v>
      </c>
      <c r="L112" s="5"/>
      <c r="M112" s="5"/>
    </row>
    <row r="113" spans="1:13" x14ac:dyDescent="0.4">
      <c r="A113" s="5" t="s">
        <v>246</v>
      </c>
      <c r="B113" s="5" t="s">
        <v>247</v>
      </c>
      <c r="C113" s="5">
        <v>13.375299999999999</v>
      </c>
      <c r="D113" s="5">
        <v>104.2208</v>
      </c>
      <c r="E113" s="5">
        <v>816</v>
      </c>
      <c r="F113" s="5">
        <v>1.6</v>
      </c>
      <c r="G113" s="10">
        <f t="shared" si="3"/>
        <v>51000</v>
      </c>
      <c r="H113" s="5">
        <v>421</v>
      </c>
      <c r="I113" s="5">
        <v>90.62</v>
      </c>
      <c r="J113" s="5">
        <f t="shared" si="4"/>
        <v>2.6242820958356683</v>
      </c>
      <c r="K113" s="5">
        <f t="shared" si="5"/>
        <v>4.7075701760979367</v>
      </c>
      <c r="L113" s="5"/>
      <c r="M113" s="5"/>
    </row>
    <row r="114" spans="1:13" x14ac:dyDescent="0.4">
      <c r="A114" s="5" t="s">
        <v>248</v>
      </c>
      <c r="B114" s="5" t="s">
        <v>249</v>
      </c>
      <c r="C114" s="5">
        <v>10.8188</v>
      </c>
      <c r="D114" s="5">
        <v>106.652</v>
      </c>
      <c r="E114" s="5">
        <v>2180</v>
      </c>
      <c r="F114" s="5">
        <v>0.8</v>
      </c>
      <c r="G114" s="10">
        <f t="shared" si="3"/>
        <v>272500</v>
      </c>
      <c r="H114" s="5">
        <v>59</v>
      </c>
      <c r="I114" s="5">
        <v>98.69</v>
      </c>
      <c r="J114" s="5">
        <f t="shared" si="4"/>
        <v>1.7708520116421442</v>
      </c>
      <c r="K114" s="5">
        <f t="shared" si="5"/>
        <v>5.4353665066126613</v>
      </c>
      <c r="L114" s="5"/>
      <c r="M114" s="5"/>
    </row>
    <row r="115" spans="1:13" x14ac:dyDescent="0.4">
      <c r="A115" s="5" t="s">
        <v>250</v>
      </c>
      <c r="B115" s="5" t="s">
        <v>251</v>
      </c>
      <c r="C115" s="5">
        <v>25.703600000000002</v>
      </c>
      <c r="D115" s="5">
        <v>91.978700000000003</v>
      </c>
      <c r="E115" s="5">
        <v>704</v>
      </c>
      <c r="F115" s="5">
        <v>100</v>
      </c>
      <c r="G115" s="10">
        <f t="shared" si="3"/>
        <v>704</v>
      </c>
      <c r="H115" s="5">
        <v>1866</v>
      </c>
      <c r="I115" s="5">
        <v>58.42</v>
      </c>
      <c r="J115" s="5">
        <f t="shared" si="4"/>
        <v>3.2709116394104814</v>
      </c>
      <c r="K115" s="5">
        <f t="shared" si="5"/>
        <v>2.847572659142112</v>
      </c>
      <c r="L115" s="5"/>
      <c r="M115" s="5"/>
    </row>
    <row r="116" spans="1:13" x14ac:dyDescent="0.4">
      <c r="A116" s="5" t="s">
        <v>252</v>
      </c>
      <c r="B116" s="5" t="s">
        <v>253</v>
      </c>
      <c r="C116" s="5">
        <v>1.3502000000000001</v>
      </c>
      <c r="D116" s="5">
        <v>103.994</v>
      </c>
      <c r="E116" s="5">
        <v>2448</v>
      </c>
      <c r="F116" s="5">
        <v>0.1</v>
      </c>
      <c r="G116" s="10">
        <f t="shared" si="3"/>
        <v>2448000</v>
      </c>
      <c r="H116" s="5">
        <v>16</v>
      </c>
      <c r="I116" s="5">
        <v>99.64</v>
      </c>
      <c r="J116" s="5">
        <f t="shared" si="4"/>
        <v>1.2041199826559248</v>
      </c>
      <c r="K116" s="5">
        <f t="shared" si="5"/>
        <v>6.3888114134735234</v>
      </c>
      <c r="L116" s="5"/>
      <c r="M116" s="5"/>
    </row>
    <row r="117" spans="1:13" x14ac:dyDescent="0.4">
      <c r="A117" s="5" t="s">
        <v>254</v>
      </c>
      <c r="B117" s="5" t="s">
        <v>255</v>
      </c>
      <c r="C117" s="5">
        <v>39.700499999999998</v>
      </c>
      <c r="D117" s="5">
        <v>66.983800000000002</v>
      </c>
      <c r="E117" s="5">
        <v>1072</v>
      </c>
      <c r="F117" s="5">
        <v>5.9</v>
      </c>
      <c r="G117" s="10">
        <f t="shared" si="3"/>
        <v>18169</v>
      </c>
      <c r="H117" s="5">
        <v>801</v>
      </c>
      <c r="I117" s="5">
        <v>82.15</v>
      </c>
      <c r="J117" s="5">
        <f t="shared" si="4"/>
        <v>2.9036325160842376</v>
      </c>
      <c r="K117" s="5">
        <f t="shared" si="5"/>
        <v>4.2593310249176541</v>
      </c>
      <c r="L117" s="5"/>
      <c r="M117" s="5"/>
    </row>
    <row r="118" spans="1:13" x14ac:dyDescent="0.4">
      <c r="A118" s="5" t="s">
        <v>256</v>
      </c>
      <c r="B118" s="5" t="s">
        <v>257</v>
      </c>
      <c r="C118" s="5">
        <v>33.987099999999998</v>
      </c>
      <c r="D118" s="5">
        <v>74.774199999999993</v>
      </c>
      <c r="E118" s="5">
        <v>1070</v>
      </c>
      <c r="F118" s="5">
        <v>0.8</v>
      </c>
      <c r="G118" s="10">
        <f t="shared" si="3"/>
        <v>133750</v>
      </c>
      <c r="H118" s="5">
        <v>403</v>
      </c>
      <c r="I118" s="5">
        <v>91.02</v>
      </c>
      <c r="J118" s="5">
        <f t="shared" si="4"/>
        <v>2.6053050461411096</v>
      </c>
      <c r="K118" s="5">
        <f t="shared" si="5"/>
        <v>5.126293790693266</v>
      </c>
      <c r="L118" s="5"/>
      <c r="M118" s="5"/>
    </row>
    <row r="119" spans="1:13" x14ac:dyDescent="0.4">
      <c r="A119" s="5" t="s">
        <v>258</v>
      </c>
      <c r="B119" s="5" t="s">
        <v>259</v>
      </c>
      <c r="C119" s="5">
        <v>-33.946100000000001</v>
      </c>
      <c r="D119" s="5">
        <v>151.17699999999999</v>
      </c>
      <c r="E119" s="5">
        <v>1490</v>
      </c>
      <c r="F119" s="5">
        <v>0.3</v>
      </c>
      <c r="G119" s="10">
        <f t="shared" si="3"/>
        <v>496667</v>
      </c>
      <c r="H119" s="5">
        <v>57</v>
      </c>
      <c r="I119" s="5">
        <v>98.73</v>
      </c>
      <c r="J119" s="5">
        <f t="shared" si="4"/>
        <v>1.7558748556724915</v>
      </c>
      <c r="K119" s="5">
        <f t="shared" si="5"/>
        <v>5.6960653051653205</v>
      </c>
      <c r="L119" s="5"/>
      <c r="M119" s="5"/>
    </row>
    <row r="120" spans="1:13" x14ac:dyDescent="0.4">
      <c r="A120" s="5" t="s">
        <v>260</v>
      </c>
      <c r="B120" s="5" t="s">
        <v>261</v>
      </c>
      <c r="C120" s="5">
        <v>41.257899999999999</v>
      </c>
      <c r="D120" s="5">
        <v>69.281199999999998</v>
      </c>
      <c r="E120" s="5">
        <v>1912</v>
      </c>
      <c r="F120" s="5">
        <v>0.5</v>
      </c>
      <c r="G120" s="10">
        <f t="shared" si="3"/>
        <v>382400</v>
      </c>
      <c r="H120" s="5">
        <v>258</v>
      </c>
      <c r="I120" s="5">
        <v>94.25</v>
      </c>
      <c r="J120" s="5">
        <f t="shared" si="4"/>
        <v>2.4116197059632301</v>
      </c>
      <c r="K120" s="5">
        <f t="shared" si="5"/>
        <v>5.5825178836040621</v>
      </c>
      <c r="L120" s="5"/>
      <c r="M120" s="5"/>
    </row>
    <row r="121" spans="1:13" x14ac:dyDescent="0.4">
      <c r="A121" s="5" t="s">
        <v>262</v>
      </c>
      <c r="B121" s="5" t="s">
        <v>263</v>
      </c>
      <c r="C121" s="5">
        <v>41.669199999999996</v>
      </c>
      <c r="D121" s="5">
        <v>44.954700000000003</v>
      </c>
      <c r="E121" s="5">
        <v>762</v>
      </c>
      <c r="F121" s="5">
        <v>0.6</v>
      </c>
      <c r="G121" s="10">
        <f t="shared" si="3"/>
        <v>127000</v>
      </c>
      <c r="H121" s="5">
        <v>378</v>
      </c>
      <c r="I121" s="5">
        <v>91.58</v>
      </c>
      <c r="J121" s="5">
        <f t="shared" si="4"/>
        <v>2.5774917998372255</v>
      </c>
      <c r="K121" s="5">
        <f t="shared" si="5"/>
        <v>5.1038037209559572</v>
      </c>
      <c r="L121" s="5"/>
      <c r="M121" s="5"/>
    </row>
    <row r="122" spans="1:13" x14ac:dyDescent="0.4">
      <c r="A122" s="5" t="s">
        <v>264</v>
      </c>
      <c r="B122" s="5" t="s">
        <v>265</v>
      </c>
      <c r="C122" s="5">
        <v>26.709099999999999</v>
      </c>
      <c r="D122" s="5">
        <v>92.784700000000001</v>
      </c>
      <c r="E122" s="5">
        <v>856</v>
      </c>
      <c r="F122" s="5">
        <v>100</v>
      </c>
      <c r="G122" s="10">
        <f t="shared" si="3"/>
        <v>856</v>
      </c>
      <c r="H122" s="5">
        <v>2614</v>
      </c>
      <c r="I122" s="5">
        <v>41.76</v>
      </c>
      <c r="J122" s="5">
        <f t="shared" si="4"/>
        <v>3.4173055832445254</v>
      </c>
      <c r="K122" s="5">
        <f t="shared" si="5"/>
        <v>2.932473764677153</v>
      </c>
      <c r="L122" s="5"/>
      <c r="M122" s="5"/>
    </row>
    <row r="123" spans="1:13" x14ac:dyDescent="0.4">
      <c r="A123" s="5" t="s">
        <v>266</v>
      </c>
      <c r="B123" s="5" t="s">
        <v>267</v>
      </c>
      <c r="C123" s="5">
        <v>37.988100000000003</v>
      </c>
      <c r="D123" s="5">
        <v>69.805000000000007</v>
      </c>
      <c r="E123" s="5">
        <v>375</v>
      </c>
      <c r="F123" s="5">
        <v>100</v>
      </c>
      <c r="G123" s="10">
        <f t="shared" si="3"/>
        <v>375</v>
      </c>
      <c r="H123" s="5">
        <v>2892</v>
      </c>
      <c r="I123" s="5">
        <v>35.56</v>
      </c>
      <c r="J123" s="5">
        <f t="shared" si="4"/>
        <v>3.461198288622493</v>
      </c>
      <c r="K123" s="5">
        <f t="shared" si="5"/>
        <v>2.5740312677277188</v>
      </c>
      <c r="L123" s="5"/>
      <c r="M123" s="5"/>
    </row>
    <row r="124" spans="1:13" x14ac:dyDescent="0.4">
      <c r="A124" s="5" t="s">
        <v>268</v>
      </c>
      <c r="B124" s="5" t="s">
        <v>269</v>
      </c>
      <c r="C124" s="5">
        <v>25.0777</v>
      </c>
      <c r="D124" s="5">
        <v>121.233</v>
      </c>
      <c r="E124" s="5">
        <v>562</v>
      </c>
      <c r="F124" s="5">
        <v>0.1</v>
      </c>
      <c r="G124" s="10">
        <f t="shared" si="3"/>
        <v>562000</v>
      </c>
      <c r="H124" s="5">
        <v>48</v>
      </c>
      <c r="I124" s="5">
        <v>98.93</v>
      </c>
      <c r="J124" s="5">
        <f t="shared" si="4"/>
        <v>1.6812412373755872</v>
      </c>
      <c r="K124" s="5">
        <f t="shared" si="5"/>
        <v>5.7497363155690611</v>
      </c>
      <c r="L124" s="5"/>
      <c r="M124" s="5"/>
    </row>
    <row r="125" spans="1:13" x14ac:dyDescent="0.4">
      <c r="A125" s="5" t="s">
        <v>270</v>
      </c>
      <c r="B125" s="5" t="s">
        <v>271</v>
      </c>
      <c r="C125" s="5">
        <v>8.4821000000000009</v>
      </c>
      <c r="D125" s="5">
        <v>76.920100000000005</v>
      </c>
      <c r="E125" s="5">
        <v>943</v>
      </c>
      <c r="F125" s="5">
        <v>0.2</v>
      </c>
      <c r="G125" s="10">
        <f t="shared" si="3"/>
        <v>471500</v>
      </c>
      <c r="H125" s="5">
        <v>388</v>
      </c>
      <c r="I125" s="5">
        <v>91.35</v>
      </c>
      <c r="J125" s="5">
        <f t="shared" si="4"/>
        <v>2.5888317255942073</v>
      </c>
      <c r="K125" s="5">
        <f t="shared" si="5"/>
        <v>5.6734816970733473</v>
      </c>
      <c r="L125" s="5"/>
      <c r="M125" s="5"/>
    </row>
    <row r="126" spans="1:13" x14ac:dyDescent="0.4">
      <c r="A126" s="5" t="s">
        <v>272</v>
      </c>
      <c r="B126" s="5" t="s">
        <v>273</v>
      </c>
      <c r="C126" s="5">
        <v>47.646900000000002</v>
      </c>
      <c r="D126" s="5">
        <v>106.8197</v>
      </c>
      <c r="E126" s="5">
        <v>943</v>
      </c>
      <c r="F126" s="5">
        <v>0.9</v>
      </c>
      <c r="G126" s="10">
        <f t="shared" si="3"/>
        <v>104778</v>
      </c>
      <c r="H126" s="5">
        <v>618</v>
      </c>
      <c r="I126" s="5">
        <v>86.23</v>
      </c>
      <c r="J126" s="5">
        <f t="shared" si="4"/>
        <v>2.7909884750888159</v>
      </c>
      <c r="K126" s="5">
        <f t="shared" si="5"/>
        <v>5.020270104388187</v>
      </c>
      <c r="L126" s="5"/>
      <c r="M126" s="5"/>
    </row>
    <row r="127" spans="1:13" x14ac:dyDescent="0.4">
      <c r="A127" s="5" t="s">
        <v>274</v>
      </c>
      <c r="B127" s="5" t="s">
        <v>275</v>
      </c>
      <c r="C127" s="5">
        <v>43.9071</v>
      </c>
      <c r="D127" s="5">
        <v>87.474199999999996</v>
      </c>
      <c r="E127" s="5">
        <v>1912</v>
      </c>
      <c r="F127" s="5">
        <v>0.4</v>
      </c>
      <c r="G127" s="10">
        <f t="shared" si="3"/>
        <v>478000</v>
      </c>
      <c r="H127" s="5">
        <v>90</v>
      </c>
      <c r="I127" s="5">
        <v>97.99</v>
      </c>
      <c r="J127" s="5">
        <f t="shared" si="4"/>
        <v>1.954242509439325</v>
      </c>
      <c r="K127" s="5">
        <f t="shared" si="5"/>
        <v>5.6794278966121192</v>
      </c>
      <c r="L127" s="5"/>
      <c r="M127" s="5"/>
    </row>
    <row r="128" spans="1:13" x14ac:dyDescent="0.4">
      <c r="A128" s="5" t="s">
        <v>276</v>
      </c>
      <c r="B128" s="5" t="s">
        <v>277</v>
      </c>
      <c r="C128" s="5">
        <v>17.988299999999999</v>
      </c>
      <c r="D128" s="5">
        <v>102.563</v>
      </c>
      <c r="E128" s="5">
        <v>943</v>
      </c>
      <c r="F128" s="5">
        <v>2.1</v>
      </c>
      <c r="G128" s="10">
        <f t="shared" si="3"/>
        <v>44905</v>
      </c>
      <c r="H128" s="5">
        <v>577</v>
      </c>
      <c r="I128" s="5">
        <v>87.14</v>
      </c>
      <c r="J128" s="5">
        <f t="shared" si="4"/>
        <v>2.7611758131557314</v>
      </c>
      <c r="K128" s="5">
        <f t="shared" si="5"/>
        <v>4.6522947007252045</v>
      </c>
      <c r="L128" s="5"/>
      <c r="M128" s="5"/>
    </row>
    <row r="129" spans="1:13" x14ac:dyDescent="0.4">
      <c r="A129" s="5" t="s">
        <v>278</v>
      </c>
      <c r="B129" s="5" t="s">
        <v>279</v>
      </c>
      <c r="C129" s="5">
        <v>32.836399999999998</v>
      </c>
      <c r="D129" s="5">
        <v>97.0364</v>
      </c>
      <c r="E129" s="5">
        <v>884</v>
      </c>
      <c r="F129" s="5">
        <v>21.9</v>
      </c>
      <c r="G129" s="10">
        <f t="shared" si="3"/>
        <v>4037</v>
      </c>
      <c r="H129" s="4">
        <v>1377</v>
      </c>
      <c r="I129" s="5">
        <v>69.319999999999993</v>
      </c>
      <c r="J129" s="5">
        <f t="shared" si="4"/>
        <v>3.1389339402569236</v>
      </c>
      <c r="K129" s="5">
        <f t="shared" si="5"/>
        <v>3.6060587494103142</v>
      </c>
      <c r="L129" s="5"/>
      <c r="M129" s="5"/>
    </row>
    <row r="130" spans="1:13" x14ac:dyDescent="0.4">
      <c r="A130" s="5" t="s">
        <v>280</v>
      </c>
      <c r="B130" s="5" t="s">
        <v>281</v>
      </c>
      <c r="C130" s="5">
        <v>24.963200000000001</v>
      </c>
      <c r="D130" s="5">
        <v>91.866799999999998</v>
      </c>
      <c r="E130" s="5">
        <v>876</v>
      </c>
      <c r="F130" s="5">
        <v>100</v>
      </c>
      <c r="G130" s="10">
        <f t="shared" si="3"/>
        <v>876</v>
      </c>
      <c r="H130" s="5">
        <v>1147</v>
      </c>
      <c r="I130" s="5">
        <v>74.44</v>
      </c>
      <c r="J130" s="5">
        <f t="shared" si="4"/>
        <v>3.0595634179012676</v>
      </c>
      <c r="K130" s="5">
        <f t="shared" si="5"/>
        <v>2.9425041061680806</v>
      </c>
      <c r="L130" s="5"/>
      <c r="M130" s="5"/>
    </row>
    <row r="132" spans="1:13" x14ac:dyDescent="0.4">
      <c r="A132" s="6" t="s">
        <v>282</v>
      </c>
      <c r="B132" s="4" t="str">
        <f>COUNTA(F2:F130)&amp;" / 129"</f>
        <v>129 / 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zoomScale="150" zoomScaleNormal="100" workbookViewId="0">
      <pane ySplit="1" topLeftCell="A20" activePane="bottomLeft" state="frozen"/>
      <selection pane="bottomLeft" sqref="A1:C31"/>
    </sheetView>
  </sheetViews>
  <sheetFormatPr baseColWidth="10" defaultColWidth="8.6640625" defaultRowHeight="15" x14ac:dyDescent="0.2"/>
  <cols>
    <col min="1" max="1" width="13" bestFit="1" customWidth="1"/>
    <col min="2" max="2" width="17.83203125" bestFit="1" customWidth="1"/>
    <col min="3" max="3" width="28.1640625" bestFit="1" customWidth="1"/>
    <col min="4" max="4" width="23.6640625" bestFit="1" customWidth="1"/>
    <col min="5" max="6" width="23.6640625" customWidth="1"/>
    <col min="7" max="7" width="14.33203125" bestFit="1" customWidth="1"/>
    <col min="8" max="8" width="40.83203125" bestFit="1" customWidth="1"/>
  </cols>
  <sheetData>
    <row r="1" spans="1:9" s="11" customFormat="1" ht="30" customHeight="1" x14ac:dyDescent="0.45">
      <c r="A1" s="7" t="s">
        <v>283</v>
      </c>
      <c r="B1" s="7" t="s">
        <v>284</v>
      </c>
      <c r="C1" s="7" t="s">
        <v>287</v>
      </c>
      <c r="D1" s="7" t="s">
        <v>285</v>
      </c>
      <c r="E1" s="7" t="s">
        <v>289</v>
      </c>
      <c r="F1" s="7" t="s">
        <v>290</v>
      </c>
      <c r="G1" s="7" t="s">
        <v>23</v>
      </c>
      <c r="H1" s="7" t="s">
        <v>24</v>
      </c>
    </row>
    <row r="2" spans="1:9" ht="24" x14ac:dyDescent="0.4">
      <c r="A2" s="5" t="s">
        <v>166</v>
      </c>
      <c r="B2" s="5" t="s">
        <v>250</v>
      </c>
      <c r="C2" s="5">
        <v>210</v>
      </c>
      <c r="D2" s="5">
        <f>IFERROR(2*3440.065*ASIN(SQRT(SIN(RADIANS(VLOOKUP($B2,'Airport Parameters'!$A:$D,3,FALSE())-VLOOKUP($A2,'Airport Parameters'!$A:$D,3,FALSE()))/2)^2+COS(RADIANS(VLOOKUP($A2,'Airport Parameters'!$A:$D,3,FALSE())))*COS(RADIANS(VLOOKUP($B2,'Airport Parameters'!$A:$D,3,FALSE())))*SIN(RADIANS(VLOOKUP($B2,'Airport Parameters'!$A:$D,4,FALSE())-VLOOKUP($A2,'Airport Parameters'!$A:$D,4,FALSE()))/2)^2)),"")</f>
        <v>133.4514316634191</v>
      </c>
      <c r="E2" s="5">
        <f>VLOOKUP(A2,'Airport Parameters'!$A:$G,7,FALSE)</f>
        <v>1048</v>
      </c>
      <c r="F2" s="5">
        <f>VLOOKUP(B2,'Airport Parameters'!$A:$G,7,FALSE)</f>
        <v>704</v>
      </c>
      <c r="G2" s="5"/>
      <c r="H2" s="5"/>
      <c r="I2" s="4"/>
    </row>
    <row r="3" spans="1:9" ht="24" x14ac:dyDescent="0.4">
      <c r="A3" s="5" t="s">
        <v>31</v>
      </c>
      <c r="B3" s="5" t="s">
        <v>204</v>
      </c>
      <c r="C3" s="5">
        <v>119</v>
      </c>
      <c r="D3" s="5">
        <f>IFERROR(2*3440.065*ASIN(SQRT(SIN(RADIANS(VLOOKUP($B3,'Airport Parameters'!$A:$D,3,FALSE())-VLOOKUP($A3,'Airport Parameters'!$A:$D,3,FALSE()))/2)^2+COS(RADIANS(VLOOKUP($A3,'Airport Parameters'!$A:$D,3,FALSE())))*COS(RADIANS(VLOOKUP($B3,'Airport Parameters'!$A:$D,3,FALSE())))*SIN(RADIANS(VLOOKUP($B3,'Airport Parameters'!$A:$D,4,FALSE())-VLOOKUP($A3,'Airport Parameters'!$A:$D,4,FALSE()))/2)^2)),"")</f>
        <v>198.00673625104369</v>
      </c>
      <c r="E3" s="5">
        <f>VLOOKUP(A3,'Airport Parameters'!$A:$G,7,FALSE)</f>
        <v>513</v>
      </c>
      <c r="F3" s="5">
        <f>VLOOKUP(B3,'Airport Parameters'!$A:$G,7,FALSE)</f>
        <v>16511</v>
      </c>
      <c r="G3" s="5"/>
      <c r="H3" s="5"/>
      <c r="I3" s="4"/>
    </row>
    <row r="4" spans="1:9" ht="24" x14ac:dyDescent="0.4">
      <c r="A4" s="5" t="s">
        <v>130</v>
      </c>
      <c r="B4" s="5" t="s">
        <v>156</v>
      </c>
      <c r="C4" s="5">
        <v>386</v>
      </c>
      <c r="D4" s="5">
        <f>IFERROR(2*3440.065*ASIN(SQRT(SIN(RADIANS(VLOOKUP($B4,'Airport Parameters'!$A:$D,3,FALSE())-VLOOKUP($A4,'Airport Parameters'!$A:$D,3,FALSE()))/2)^2+COS(RADIANS(VLOOKUP($A4,'Airport Parameters'!$A:$D,3,FALSE())))*COS(RADIANS(VLOOKUP($B4,'Airport Parameters'!$A:$D,3,FALSE())))*SIN(RADIANS(VLOOKUP($B4,'Airport Parameters'!$A:$D,4,FALSE())-VLOOKUP($A4,'Airport Parameters'!$A:$D,4,FALSE()))/2)^2)),"")</f>
        <v>207.79296142037256</v>
      </c>
      <c r="E4" s="5">
        <f>VLOOKUP(A4,'Airport Parameters'!$A:$G,7,FALSE)</f>
        <v>74444</v>
      </c>
      <c r="F4" s="5">
        <f>VLOOKUP(B4,'Airport Parameters'!$A:$G,7,FALSE)</f>
        <v>77857</v>
      </c>
      <c r="G4" s="5"/>
      <c r="H4" s="5"/>
      <c r="I4" s="4"/>
    </row>
    <row r="5" spans="1:9" ht="24" x14ac:dyDescent="0.4">
      <c r="A5" s="5" t="s">
        <v>35</v>
      </c>
      <c r="B5" s="5" t="s">
        <v>220</v>
      </c>
      <c r="C5" s="5">
        <v>168</v>
      </c>
      <c r="D5" s="5">
        <f>IFERROR(2*3440.065*ASIN(SQRT(SIN(RADIANS(VLOOKUP($B5,'Airport Parameters'!$A:$D,3,FALSE())-VLOOKUP($A5,'Airport Parameters'!$A:$D,3,FALSE()))/2)^2+COS(RADIANS(VLOOKUP($A5,'Airport Parameters'!$A:$D,3,FALSE())))*COS(RADIANS(VLOOKUP($B5,'Airport Parameters'!$A:$D,3,FALSE())))*SIN(RADIANS(VLOOKUP($B5,'Airport Parameters'!$A:$D,4,FALSE())-VLOOKUP($A5,'Airport Parameters'!$A:$D,4,FALSE()))/2)^2)),"")</f>
        <v>228.68661669155708</v>
      </c>
      <c r="E5" s="5">
        <f>VLOOKUP(A5,'Airport Parameters'!$A:$G,7,FALSE)</f>
        <v>153000</v>
      </c>
      <c r="F5" s="5">
        <f>VLOOKUP(B5,'Airport Parameters'!$A:$G,7,FALSE)</f>
        <v>340</v>
      </c>
      <c r="G5" s="5"/>
      <c r="H5" s="5"/>
      <c r="I5" s="4"/>
    </row>
    <row r="6" spans="1:9" ht="24" x14ac:dyDescent="0.4">
      <c r="A6" s="5" t="s">
        <v>77</v>
      </c>
      <c r="B6" s="5" t="s">
        <v>250</v>
      </c>
      <c r="C6" s="5">
        <v>167</v>
      </c>
      <c r="D6" s="5">
        <f>IFERROR(2*3440.065*ASIN(SQRT(SIN(RADIANS(VLOOKUP($B6,'Airport Parameters'!$A:$D,3,FALSE())-VLOOKUP($A6,'Airport Parameters'!$A:$D,3,FALSE()))/2)^2+COS(RADIANS(VLOOKUP($A6,'Airport Parameters'!$A:$D,3,FALSE())))*COS(RADIANS(VLOOKUP($B6,'Airport Parameters'!$A:$D,3,FALSE())))*SIN(RADIANS(VLOOKUP($B6,'Airport Parameters'!$A:$D,4,FALSE())-VLOOKUP($A6,'Airport Parameters'!$A:$D,4,FALSE()))/2)^2)),"")</f>
        <v>255.25731305012107</v>
      </c>
      <c r="E6" s="5">
        <f>VLOOKUP(A6,'Airport Parameters'!$A:$G,7,FALSE)</f>
        <v>2216</v>
      </c>
      <c r="F6" s="5">
        <f>VLOOKUP(B6,'Airport Parameters'!$A:$G,7,FALSE)</f>
        <v>704</v>
      </c>
      <c r="G6" s="5"/>
      <c r="H6" s="5"/>
      <c r="I6" s="4"/>
    </row>
    <row r="7" spans="1:9" ht="24" x14ac:dyDescent="0.4">
      <c r="A7" s="5" t="s">
        <v>168</v>
      </c>
      <c r="B7" s="5" t="s">
        <v>188</v>
      </c>
      <c r="C7" s="5">
        <v>420</v>
      </c>
      <c r="D7" s="5">
        <f>IFERROR(2*3440.065*ASIN(SQRT(SIN(RADIANS(VLOOKUP($B7,'Airport Parameters'!$A:$D,3,FALSE())-VLOOKUP($A7,'Airport Parameters'!$A:$D,3,FALSE()))/2)^2+COS(RADIANS(VLOOKUP($A7,'Airport Parameters'!$A:$D,3,FALSE())))*COS(RADIANS(VLOOKUP($B7,'Airport Parameters'!$A:$D,3,FALSE())))*SIN(RADIANS(VLOOKUP($B7,'Airport Parameters'!$A:$D,4,FALSE())-VLOOKUP($A7,'Airport Parameters'!$A:$D,4,FALSE()))/2)^2)),"")</f>
        <v>318.78308385622654</v>
      </c>
      <c r="E7" s="5">
        <f>VLOOKUP(A7,'Airport Parameters'!$A:$G,7,FALSE)</f>
        <v>159333</v>
      </c>
      <c r="F7" s="5">
        <f>VLOOKUP(B7,'Airport Parameters'!$A:$G,7,FALSE)</f>
        <v>173818</v>
      </c>
      <c r="G7" s="5"/>
      <c r="H7" s="5"/>
      <c r="I7" s="4"/>
    </row>
    <row r="8" spans="1:9" ht="24" x14ac:dyDescent="0.4">
      <c r="A8" s="5" t="s">
        <v>31</v>
      </c>
      <c r="B8" s="5" t="s">
        <v>210</v>
      </c>
      <c r="C8" s="5">
        <v>105</v>
      </c>
      <c r="D8" s="5">
        <f>IFERROR(2*3440.065*ASIN(SQRT(SIN(RADIANS(VLOOKUP($B8,'Airport Parameters'!$A:$D,3,FALSE())-VLOOKUP($A8,'Airport Parameters'!$A:$D,3,FALSE()))/2)^2+COS(RADIANS(VLOOKUP($A8,'Airport Parameters'!$A:$D,3,FALSE())))*COS(RADIANS(VLOOKUP($B8,'Airport Parameters'!$A:$D,3,FALSE())))*SIN(RADIANS(VLOOKUP($B8,'Airport Parameters'!$A:$D,4,FALSE())-VLOOKUP($A8,'Airport Parameters'!$A:$D,4,FALSE()))/2)^2)),"")</f>
        <v>401.03248263190096</v>
      </c>
      <c r="E8" s="5">
        <f>VLOOKUP(A8,'Airport Parameters'!$A:$G,7,FALSE)</f>
        <v>513</v>
      </c>
      <c r="F8" s="5">
        <f>VLOOKUP(B8,'Airport Parameters'!$A:$G,7,FALSE)</f>
        <v>508</v>
      </c>
      <c r="G8" s="5"/>
      <c r="H8" s="5"/>
      <c r="I8" s="4"/>
    </row>
    <row r="9" spans="1:9" ht="24" x14ac:dyDescent="0.4">
      <c r="A9" s="5" t="s">
        <v>192</v>
      </c>
      <c r="B9" s="5" t="s">
        <v>246</v>
      </c>
      <c r="C9" s="5">
        <v>419</v>
      </c>
      <c r="D9" s="5">
        <f>IFERROR(2*3440.065*ASIN(SQRT(SIN(RADIANS(VLOOKUP($B9,'Airport Parameters'!$A:$D,3,FALSE())-VLOOKUP($A9,'Airport Parameters'!$A:$D,3,FALSE()))/2)^2+COS(RADIANS(VLOOKUP($A9,'Airport Parameters'!$A:$D,3,FALSE())))*COS(RADIANS(VLOOKUP($B9,'Airport Parameters'!$A:$D,3,FALSE())))*SIN(RADIANS(VLOOKUP($B9,'Airport Parameters'!$A:$D,4,FALSE())-VLOOKUP($A9,'Airport Parameters'!$A:$D,4,FALSE()))/2)^2)),"")</f>
        <v>409.0960302322631</v>
      </c>
      <c r="E9" s="5">
        <f>VLOOKUP(A9,'Airport Parameters'!$A:$G,7,FALSE)</f>
        <v>14941</v>
      </c>
      <c r="F9" s="5">
        <f>VLOOKUP(B9,'Airport Parameters'!$A:$G,7,FALSE)</f>
        <v>51000</v>
      </c>
      <c r="G9" s="5"/>
      <c r="H9" s="5"/>
      <c r="I9" s="4"/>
    </row>
    <row r="10" spans="1:9" ht="24" x14ac:dyDescent="0.4">
      <c r="A10" s="5" t="s">
        <v>93</v>
      </c>
      <c r="B10" s="5" t="s">
        <v>276</v>
      </c>
      <c r="C10" s="5">
        <v>518</v>
      </c>
      <c r="D10" s="5">
        <f>IFERROR(2*3440.065*ASIN(SQRT(SIN(RADIANS(VLOOKUP($B10,'Airport Parameters'!$A:$D,3,FALSE())-VLOOKUP($A10,'Airport Parameters'!$A:$D,3,FALSE()))/2)^2+COS(RADIANS(VLOOKUP($A10,'Airport Parameters'!$A:$D,3,FALSE())))*COS(RADIANS(VLOOKUP($B10,'Airport Parameters'!$A:$D,3,FALSE())))*SIN(RADIANS(VLOOKUP($B10,'Airport Parameters'!$A:$D,4,FALSE())-VLOOKUP($A10,'Airport Parameters'!$A:$D,4,FALSE()))/2)^2)),"")</f>
        <v>476.64229299991291</v>
      </c>
      <c r="E10" s="5">
        <f>VLOOKUP(A10,'Airport Parameters'!$A:$G,7,FALSE)</f>
        <v>26071</v>
      </c>
      <c r="F10" s="5">
        <f>VLOOKUP(B10,'Airport Parameters'!$A:$G,7,FALSE)</f>
        <v>44905</v>
      </c>
      <c r="G10" s="5"/>
      <c r="H10" s="5"/>
      <c r="I10" s="4"/>
    </row>
    <row r="11" spans="1:9" ht="24" x14ac:dyDescent="0.4">
      <c r="A11" s="5" t="s">
        <v>83</v>
      </c>
      <c r="B11" s="5" t="s">
        <v>114</v>
      </c>
      <c r="C11" s="5">
        <v>238</v>
      </c>
      <c r="D11" s="5">
        <f>IFERROR(2*3440.065*ASIN(SQRT(SIN(RADIANS(VLOOKUP($B11,'Airport Parameters'!$A:$D,3,FALSE())-VLOOKUP($A11,'Airport Parameters'!$A:$D,3,FALSE()))/2)^2+COS(RADIANS(VLOOKUP($A11,'Airport Parameters'!$A:$D,3,FALSE())))*COS(RADIANS(VLOOKUP($B11,'Airport Parameters'!$A:$D,3,FALSE())))*SIN(RADIANS(VLOOKUP($B11,'Airport Parameters'!$A:$D,4,FALSE())-VLOOKUP($A11,'Airport Parameters'!$A:$D,4,FALSE()))/2)^2)),"")</f>
        <v>500.91779469067734</v>
      </c>
      <c r="E11" s="5">
        <f>VLOOKUP(A11,'Airport Parameters'!$A:$G,7,FALSE)</f>
        <v>4589</v>
      </c>
      <c r="F11" s="5">
        <f>VLOOKUP(B11,'Airport Parameters'!$A:$G,7,FALSE)</f>
        <v>604</v>
      </c>
      <c r="G11" s="5"/>
      <c r="H11" s="5"/>
      <c r="I11" s="4"/>
    </row>
    <row r="12" spans="1:9" ht="24" x14ac:dyDescent="0.4">
      <c r="A12" s="5" t="s">
        <v>204</v>
      </c>
      <c r="B12" s="5" t="s">
        <v>238</v>
      </c>
      <c r="C12" s="5">
        <v>286</v>
      </c>
      <c r="D12" s="5">
        <f>IFERROR(2*3440.065*ASIN(SQRT(SIN(RADIANS(VLOOKUP($B12,'Airport Parameters'!$A:$D,3,FALSE())-VLOOKUP($A12,'Airport Parameters'!$A:$D,3,FALSE()))/2)^2+COS(RADIANS(VLOOKUP($A12,'Airport Parameters'!$A:$D,3,FALSE())))*COS(RADIANS(VLOOKUP($B12,'Airport Parameters'!$A:$D,3,FALSE())))*SIN(RADIANS(VLOOKUP($B12,'Airport Parameters'!$A:$D,4,FALSE())-VLOOKUP($A12,'Airport Parameters'!$A:$D,4,FALSE()))/2)^2)),"")</f>
        <v>583.99552649265343</v>
      </c>
      <c r="E12" s="5">
        <f>VLOOKUP(A12,'Airport Parameters'!$A:$G,7,FALSE)</f>
        <v>16511</v>
      </c>
      <c r="F12" s="5">
        <f>VLOOKUP(B12,'Airport Parameters'!$A:$G,7,FALSE)</f>
        <v>450</v>
      </c>
      <c r="G12" s="5"/>
      <c r="H12" s="5"/>
      <c r="I12" s="4"/>
    </row>
    <row r="13" spans="1:9" ht="24" x14ac:dyDescent="0.4">
      <c r="A13" s="5" t="s">
        <v>120</v>
      </c>
      <c r="B13" s="5" t="s">
        <v>166</v>
      </c>
      <c r="C13" s="5">
        <v>339</v>
      </c>
      <c r="D13" s="5">
        <f>IFERROR(2*3440.065*ASIN(SQRT(SIN(RADIANS(VLOOKUP($B13,'Airport Parameters'!$A:$D,3,FALSE())-VLOOKUP($A13,'Airport Parameters'!$A:$D,3,FALSE()))/2)^2+COS(RADIANS(VLOOKUP($A13,'Airport Parameters'!$A:$D,3,FALSE())))*COS(RADIANS(VLOOKUP($B13,'Airport Parameters'!$A:$D,3,FALSE())))*SIN(RADIANS(VLOOKUP($B13,'Airport Parameters'!$A:$D,4,FALSE())-VLOOKUP($A13,'Airport Parameters'!$A:$D,4,FALSE()))/2)^2)),"")</f>
        <v>718.25952911030026</v>
      </c>
      <c r="E13" s="5">
        <f>VLOOKUP(A13,'Airport Parameters'!$A:$G,7,FALSE)</f>
        <v>315667</v>
      </c>
      <c r="F13" s="5">
        <f>VLOOKUP(B13,'Airport Parameters'!$A:$G,7,FALSE)</f>
        <v>1048</v>
      </c>
      <c r="G13" s="5"/>
      <c r="H13" s="5"/>
      <c r="I13" s="4"/>
    </row>
    <row r="14" spans="1:9" ht="24" x14ac:dyDescent="0.4">
      <c r="A14" s="5" t="s">
        <v>31</v>
      </c>
      <c r="B14" s="5" t="s">
        <v>246</v>
      </c>
      <c r="C14" s="5">
        <v>150</v>
      </c>
      <c r="D14" s="5">
        <f>IFERROR(2*3440.065*ASIN(SQRT(SIN(RADIANS(VLOOKUP($B14,'Airport Parameters'!$A:$D,3,FALSE())-VLOOKUP($A14,'Airport Parameters'!$A:$D,3,FALSE()))/2)^2+COS(RADIANS(VLOOKUP($A14,'Airport Parameters'!$A:$D,3,FALSE())))*COS(RADIANS(VLOOKUP($B14,'Airport Parameters'!$A:$D,3,FALSE())))*SIN(RADIANS(VLOOKUP($B14,'Airport Parameters'!$A:$D,4,FALSE())-VLOOKUP($A14,'Airport Parameters'!$A:$D,4,FALSE()))/2)^2)),"")</f>
        <v>767.80555731550965</v>
      </c>
      <c r="E14" s="5">
        <f>VLOOKUP(A14,'Airport Parameters'!$A:$G,7,FALSE)</f>
        <v>513</v>
      </c>
      <c r="F14" s="5">
        <f>VLOOKUP(B14,'Airport Parameters'!$A:$G,7,FALSE)</f>
        <v>51000</v>
      </c>
      <c r="G14" s="5"/>
      <c r="H14" s="5"/>
      <c r="I14" s="4"/>
    </row>
    <row r="15" spans="1:9" ht="24" x14ac:dyDescent="0.4">
      <c r="A15" s="5" t="s">
        <v>75</v>
      </c>
      <c r="B15" s="5" t="s">
        <v>226</v>
      </c>
      <c r="C15" s="5">
        <v>348</v>
      </c>
      <c r="D15" s="5">
        <f>IFERROR(2*3440.065*ASIN(SQRT(SIN(RADIANS(VLOOKUP($B15,'Airport Parameters'!$A:$D,3,FALSE())-VLOOKUP($A15,'Airport Parameters'!$A:$D,3,FALSE()))/2)^2+COS(RADIANS(VLOOKUP($A15,'Airport Parameters'!$A:$D,3,FALSE())))*COS(RADIANS(VLOOKUP($B15,'Airport Parameters'!$A:$D,3,FALSE())))*SIN(RADIANS(VLOOKUP($B15,'Airport Parameters'!$A:$D,4,FALSE())-VLOOKUP($A15,'Airport Parameters'!$A:$D,4,FALSE()))/2)^2)),"")</f>
        <v>785.49329031913544</v>
      </c>
      <c r="E15" s="5">
        <f>VLOOKUP(A15,'Airport Parameters'!$A:$G,7,FALSE)</f>
        <v>536000</v>
      </c>
      <c r="F15" s="5">
        <f>VLOOKUP(B15,'Airport Parameters'!$A:$G,7,FALSE)</f>
        <v>77738</v>
      </c>
      <c r="G15" s="5"/>
      <c r="H15" s="5"/>
      <c r="I15" s="4"/>
    </row>
    <row r="16" spans="1:9" ht="24" x14ac:dyDescent="0.4">
      <c r="A16" s="5" t="s">
        <v>130</v>
      </c>
      <c r="B16" s="5" t="s">
        <v>216</v>
      </c>
      <c r="C16" s="5">
        <v>533</v>
      </c>
      <c r="D16" s="5">
        <f>IFERROR(2*3440.065*ASIN(SQRT(SIN(RADIANS(VLOOKUP($B16,'Airport Parameters'!$A:$D,3,FALSE())-VLOOKUP($A16,'Airport Parameters'!$A:$D,3,FALSE()))/2)^2+COS(RADIANS(VLOOKUP($A16,'Airport Parameters'!$A:$D,3,FALSE())))*COS(RADIANS(VLOOKUP($B16,'Airport Parameters'!$A:$D,3,FALSE())))*SIN(RADIANS(VLOOKUP($B16,'Airport Parameters'!$A:$D,4,FALSE())-VLOOKUP($A16,'Airport Parameters'!$A:$D,4,FALSE()))/2)^2)),"")</f>
        <v>913.08477100935374</v>
      </c>
      <c r="E16" s="5">
        <f>VLOOKUP(A16,'Airport Parameters'!$A:$G,7,FALSE)</f>
        <v>74444</v>
      </c>
      <c r="F16" s="5">
        <f>VLOOKUP(B16,'Airport Parameters'!$A:$G,7,FALSE)</f>
        <v>108857</v>
      </c>
      <c r="G16" s="5"/>
      <c r="H16" s="5"/>
      <c r="I16" s="4"/>
    </row>
    <row r="17" spans="1:9" ht="24" x14ac:dyDescent="0.4">
      <c r="A17" s="5" t="s">
        <v>174</v>
      </c>
      <c r="B17" s="5" t="s">
        <v>250</v>
      </c>
      <c r="C17" s="5">
        <v>330</v>
      </c>
      <c r="D17" s="5">
        <f>IFERROR(2*3440.065*ASIN(SQRT(SIN(RADIANS(VLOOKUP($B17,'Airport Parameters'!$A:$D,3,FALSE())-VLOOKUP($A17,'Airport Parameters'!$A:$D,3,FALSE()))/2)^2+COS(RADIANS(VLOOKUP($A17,'Airport Parameters'!$A:$D,3,FALSE())))*COS(RADIANS(VLOOKUP($B17,'Airport Parameters'!$A:$D,3,FALSE())))*SIN(RADIANS(VLOOKUP($B17,'Airport Parameters'!$A:$D,4,FALSE())-VLOOKUP($A17,'Airport Parameters'!$A:$D,4,FALSE()))/2)^2)),"")</f>
        <v>1154.7113249389809</v>
      </c>
      <c r="E17" s="5">
        <f>VLOOKUP(A17,'Airport Parameters'!$A:$G,7,FALSE)</f>
        <v>127467</v>
      </c>
      <c r="F17" s="5">
        <f>VLOOKUP(B17,'Airport Parameters'!$A:$G,7,FALSE)</f>
        <v>704</v>
      </c>
      <c r="G17" s="5"/>
      <c r="H17" s="5"/>
      <c r="I17" s="4"/>
    </row>
    <row r="18" spans="1:9" ht="24" x14ac:dyDescent="0.4">
      <c r="A18" s="5" t="s">
        <v>122</v>
      </c>
      <c r="B18" s="5" t="s">
        <v>174</v>
      </c>
      <c r="C18" s="5">
        <v>326</v>
      </c>
      <c r="D18" s="5">
        <f>IFERROR(2*3440.065*ASIN(SQRT(SIN(RADIANS(VLOOKUP($B18,'Airport Parameters'!$A:$D,3,FALSE())-VLOOKUP($A18,'Airport Parameters'!$A:$D,3,FALSE()))/2)^2+COS(RADIANS(VLOOKUP($A18,'Airport Parameters'!$A:$D,3,FALSE())))*COS(RADIANS(VLOOKUP($B18,'Airport Parameters'!$A:$D,3,FALSE())))*SIN(RADIANS(VLOOKUP($B18,'Airport Parameters'!$A:$D,4,FALSE())-VLOOKUP($A18,'Airport Parameters'!$A:$D,4,FALSE()))/2)^2)),"")</f>
        <v>1159.9733144988606</v>
      </c>
      <c r="E18" s="5">
        <f>VLOOKUP(A18,'Airport Parameters'!$A:$G,7,FALSE)</f>
        <v>1648</v>
      </c>
      <c r="F18" s="5">
        <f>VLOOKUP(B18,'Airport Parameters'!$A:$G,7,FALSE)</f>
        <v>127467</v>
      </c>
      <c r="G18" s="5"/>
      <c r="H18" s="5"/>
      <c r="I18" s="4"/>
    </row>
    <row r="19" spans="1:9" ht="24" x14ac:dyDescent="0.4">
      <c r="A19" s="5" t="s">
        <v>87</v>
      </c>
      <c r="B19" s="5" t="s">
        <v>91</v>
      </c>
      <c r="C19" s="5">
        <v>431</v>
      </c>
      <c r="D19" s="5">
        <f>IFERROR(2*3440.065*ASIN(SQRT(SIN(RADIANS(VLOOKUP($B19,'Airport Parameters'!$A:$D,3,FALSE())-VLOOKUP($A19,'Airport Parameters'!$A:$D,3,FALSE()))/2)^2+COS(RADIANS(VLOOKUP($A19,'Airport Parameters'!$A:$D,3,FALSE())))*COS(RADIANS(VLOOKUP($B19,'Airport Parameters'!$A:$D,3,FALSE())))*SIN(RADIANS(VLOOKUP($B19,'Airport Parameters'!$A:$D,4,FALSE())-VLOOKUP($A19,'Airport Parameters'!$A:$D,4,FALSE()))/2)^2)),"")</f>
        <v>1193.847591879575</v>
      </c>
      <c r="E19" s="5">
        <f>VLOOKUP(A19,'Airport Parameters'!$A:$G,7,FALSE)</f>
        <v>1787000</v>
      </c>
      <c r="F19" s="5">
        <f>VLOOKUP(B19,'Airport Parameters'!$A:$G,7,FALSE)</f>
        <v>6718</v>
      </c>
      <c r="G19" s="5"/>
      <c r="H19" s="5"/>
      <c r="I19" s="4"/>
    </row>
    <row r="20" spans="1:9" ht="24" x14ac:dyDescent="0.4">
      <c r="A20" s="5" t="s">
        <v>77</v>
      </c>
      <c r="B20" s="5" t="s">
        <v>146</v>
      </c>
      <c r="C20" s="5">
        <v>253</v>
      </c>
      <c r="D20" s="5">
        <f>IFERROR(2*3440.065*ASIN(SQRT(SIN(RADIANS(VLOOKUP($B20,'Airport Parameters'!$A:$D,3,FALSE())-VLOOKUP($A20,'Airport Parameters'!$A:$D,3,FALSE()))/2)^2+COS(RADIANS(VLOOKUP($A20,'Airport Parameters'!$A:$D,3,FALSE())))*COS(RADIANS(VLOOKUP($B20,'Airport Parameters'!$A:$D,3,FALSE())))*SIN(RADIANS(VLOOKUP($B20,'Airport Parameters'!$A:$D,4,FALSE())-VLOOKUP($A20,'Airport Parameters'!$A:$D,4,FALSE()))/2)^2)),"")</f>
        <v>1247.1367569385336</v>
      </c>
      <c r="E20" s="5">
        <f>VLOOKUP(A20,'Airport Parameters'!$A:$G,7,FALSE)</f>
        <v>2216</v>
      </c>
      <c r="F20" s="5">
        <f>VLOOKUP(B20,'Airport Parameters'!$A:$G,7,FALSE)</f>
        <v>214000</v>
      </c>
      <c r="G20" s="5"/>
      <c r="H20" s="5"/>
      <c r="I20" s="4"/>
    </row>
    <row r="21" spans="1:9" ht="24" x14ac:dyDescent="0.4">
      <c r="A21" s="5" t="s">
        <v>39</v>
      </c>
      <c r="B21" s="5" t="s">
        <v>180</v>
      </c>
      <c r="C21" s="5">
        <v>590</v>
      </c>
      <c r="D21" s="5">
        <f>IFERROR(2*3440.065*ASIN(SQRT(SIN(RADIANS(VLOOKUP($B21,'Airport Parameters'!$A:$D,3,FALSE())-VLOOKUP($A21,'Airport Parameters'!$A:$D,3,FALSE()))/2)^2+COS(RADIANS(VLOOKUP($A21,'Airport Parameters'!$A:$D,3,FALSE())))*COS(RADIANS(VLOOKUP($B21,'Airport Parameters'!$A:$D,3,FALSE())))*SIN(RADIANS(VLOOKUP($B21,'Airport Parameters'!$A:$D,4,FALSE())-VLOOKUP($A21,'Airport Parameters'!$A:$D,4,FALSE()))/2)^2)),"")</f>
        <v>1223.8759759547961</v>
      </c>
      <c r="E21" s="5">
        <f>VLOOKUP(A21,'Airport Parameters'!$A:$G,7,FALSE)</f>
        <v>108857</v>
      </c>
      <c r="F21" s="5">
        <f>VLOOKUP(B21,'Airport Parameters'!$A:$G,7,FALSE)</f>
        <v>136000</v>
      </c>
      <c r="G21" s="5"/>
      <c r="H21" s="5"/>
      <c r="I21" s="4"/>
    </row>
    <row r="22" spans="1:9" ht="24" x14ac:dyDescent="0.4">
      <c r="A22" s="5" t="s">
        <v>224</v>
      </c>
      <c r="B22" s="5" t="s">
        <v>264</v>
      </c>
      <c r="C22" s="5">
        <v>211</v>
      </c>
      <c r="D22" s="5">
        <f>IFERROR(2*3440.065*ASIN(SQRT(SIN(RADIANS(VLOOKUP($B22,'Airport Parameters'!$A:$D,3,FALSE())-VLOOKUP($A22,'Airport Parameters'!$A:$D,3,FALSE()))/2)^2+COS(RADIANS(VLOOKUP($A22,'Airport Parameters'!$A:$D,3,FALSE())))*COS(RADIANS(VLOOKUP($B22,'Airport Parameters'!$A:$D,3,FALSE())))*SIN(RADIANS(VLOOKUP($B22,'Airport Parameters'!$A:$D,4,FALSE())-VLOOKUP($A22,'Airport Parameters'!$A:$D,4,FALSE()))/2)^2)),"")</f>
        <v>1296.1558564879749</v>
      </c>
      <c r="E22" s="5">
        <f>VLOOKUP(A22,'Airport Parameters'!$A:$G,7,FALSE)</f>
        <v>10737</v>
      </c>
      <c r="F22" s="5">
        <f>VLOOKUP(B22,'Airport Parameters'!$A:$G,7,FALSE)</f>
        <v>856</v>
      </c>
      <c r="G22" s="5"/>
      <c r="H22" s="5"/>
      <c r="I22" s="4"/>
    </row>
    <row r="23" spans="1:9" ht="24" x14ac:dyDescent="0.4">
      <c r="A23" s="5" t="s">
        <v>222</v>
      </c>
      <c r="B23" s="5" t="s">
        <v>270</v>
      </c>
      <c r="C23" s="5">
        <v>566</v>
      </c>
      <c r="D23" s="5">
        <f>IFERROR(2*3440.065*ASIN(SQRT(SIN(RADIANS(VLOOKUP($B23,'Airport Parameters'!$A:$D,3,FALSE())-VLOOKUP($A23,'Airport Parameters'!$A:$D,3,FALSE()))/2)^2+COS(RADIANS(VLOOKUP($A23,'Airport Parameters'!$A:$D,3,FALSE())))*COS(RADIANS(VLOOKUP($B23,'Airport Parameters'!$A:$D,3,FALSE())))*SIN(RADIANS(VLOOKUP($B23,'Airport Parameters'!$A:$D,4,FALSE())-VLOOKUP($A23,'Airport Parameters'!$A:$D,4,FALSE()))/2)^2)),"")</f>
        <v>1305.0410104644554</v>
      </c>
      <c r="E23" s="5">
        <f>VLOOKUP(A23,'Airport Parameters'!$A:$G,7,FALSE)</f>
        <v>41833</v>
      </c>
      <c r="F23" s="5">
        <f>VLOOKUP(B23,'Airport Parameters'!$A:$G,7,FALSE)</f>
        <v>471500</v>
      </c>
      <c r="G23" s="5"/>
      <c r="H23" s="5"/>
      <c r="I23" s="4"/>
    </row>
    <row r="24" spans="1:9" ht="24" x14ac:dyDescent="0.4">
      <c r="A24" s="5" t="s">
        <v>89</v>
      </c>
      <c r="B24" s="5" t="s">
        <v>224</v>
      </c>
      <c r="C24" s="5">
        <v>433</v>
      </c>
      <c r="D24" s="5">
        <f>IFERROR(2*3440.065*ASIN(SQRT(SIN(RADIANS(VLOOKUP($B24,'Airport Parameters'!$A:$D,3,FALSE())-VLOOKUP($A24,'Airport Parameters'!$A:$D,3,FALSE()))/2)^2+COS(RADIANS(VLOOKUP($A24,'Airport Parameters'!$A:$D,3,FALSE())))*COS(RADIANS(VLOOKUP($B24,'Airport Parameters'!$A:$D,3,FALSE())))*SIN(RADIANS(VLOOKUP($B24,'Airport Parameters'!$A:$D,4,FALSE())-VLOOKUP($A24,'Airport Parameters'!$A:$D,4,FALSE()))/2)^2)),"")</f>
        <v>1351.2089079553525</v>
      </c>
      <c r="E24" s="5">
        <f>VLOOKUP(A24,'Airport Parameters'!$A:$G,7,FALSE)</f>
        <v>2016</v>
      </c>
      <c r="F24" s="5">
        <f>VLOOKUP(B24,'Airport Parameters'!$A:$G,7,FALSE)</f>
        <v>10737</v>
      </c>
      <c r="G24" s="5"/>
      <c r="H24" s="5"/>
      <c r="I24" s="4"/>
    </row>
    <row r="25" spans="1:9" ht="24" x14ac:dyDescent="0.4">
      <c r="A25" s="5" t="s">
        <v>59</v>
      </c>
      <c r="B25" s="5" t="s">
        <v>152</v>
      </c>
      <c r="C25" s="5">
        <v>736</v>
      </c>
      <c r="D25" s="5">
        <f>IFERROR(2*3440.065*ASIN(SQRT(SIN(RADIANS(VLOOKUP($B25,'Airport Parameters'!$A:$D,3,FALSE())-VLOOKUP($A25,'Airport Parameters'!$A:$D,3,FALSE()))/2)^2+COS(RADIANS(VLOOKUP($A25,'Airport Parameters'!$A:$D,3,FALSE())))*COS(RADIANS(VLOOKUP($B25,'Airport Parameters'!$A:$D,3,FALSE())))*SIN(RADIANS(VLOOKUP($B25,'Airport Parameters'!$A:$D,4,FALSE())-VLOOKUP($A25,'Airport Parameters'!$A:$D,4,FALSE()))/2)^2)),"")</f>
        <v>1370.3960732056826</v>
      </c>
      <c r="E25" s="5">
        <f>VLOOKUP(A25,'Airport Parameters'!$A:$G,7,FALSE)</f>
        <v>1072000</v>
      </c>
      <c r="F25" s="5">
        <f>VLOOKUP(B25,'Airport Parameters'!$A:$G,7,FALSE)</f>
        <v>171000</v>
      </c>
      <c r="G25" s="5"/>
      <c r="H25" s="5"/>
      <c r="I25" s="4"/>
    </row>
    <row r="26" spans="1:9" ht="24" x14ac:dyDescent="0.4">
      <c r="A26" s="5" t="s">
        <v>71</v>
      </c>
      <c r="B26" s="5" t="s">
        <v>85</v>
      </c>
      <c r="C26" s="5">
        <v>532</v>
      </c>
      <c r="D26" s="5">
        <f>IFERROR(2*3440.065*ASIN(SQRT(SIN(RADIANS(VLOOKUP($B26,'Airport Parameters'!$A:$D,3,FALSE())-VLOOKUP($A26,'Airport Parameters'!$A:$D,3,FALSE()))/2)^2+COS(RADIANS(VLOOKUP($A26,'Airport Parameters'!$A:$D,3,FALSE())))*COS(RADIANS(VLOOKUP($B26,'Airport Parameters'!$A:$D,3,FALSE())))*SIN(RADIANS(VLOOKUP($B26,'Airport Parameters'!$A:$D,4,FALSE())-VLOOKUP($A26,'Airport Parameters'!$A:$D,4,FALSE()))/2)^2)),"")</f>
        <v>1384.7980093796696</v>
      </c>
      <c r="E26" s="5">
        <f>VLOOKUP(A26,'Airport Parameters'!$A:$G,7,FALSE)</f>
        <v>956000</v>
      </c>
      <c r="F26" s="5">
        <f>VLOOKUP(B26,'Airport Parameters'!$A:$G,7,FALSE)</f>
        <v>72762</v>
      </c>
      <c r="G26" s="5"/>
      <c r="H26" s="5"/>
      <c r="I26" s="4"/>
    </row>
    <row r="27" spans="1:9" ht="24" x14ac:dyDescent="0.4">
      <c r="A27" s="5" t="s">
        <v>101</v>
      </c>
      <c r="B27" s="5" t="s">
        <v>242</v>
      </c>
      <c r="C27" s="5">
        <v>569</v>
      </c>
      <c r="D27" s="5">
        <f>IFERROR(2*3440.065*ASIN(SQRT(SIN(RADIANS(VLOOKUP($B27,'Airport Parameters'!$A:$D,3,FALSE())-VLOOKUP($A27,'Airport Parameters'!$A:$D,3,FALSE()))/2)^2+COS(RADIANS(VLOOKUP($A27,'Airport Parameters'!$A:$D,3,FALSE())))*COS(RADIANS(VLOOKUP($B27,'Airport Parameters'!$A:$D,3,FALSE())))*SIN(RADIANS(VLOOKUP($B27,'Airport Parameters'!$A:$D,4,FALSE())-VLOOKUP($A27,'Airport Parameters'!$A:$D,4,FALSE()))/2)^2)),"")</f>
        <v>1387.1325650892268</v>
      </c>
      <c r="E27" s="5">
        <f>VLOOKUP(A27,'Airport Parameters'!$A:$G,7,FALSE)</f>
        <v>33561</v>
      </c>
      <c r="F27" s="5">
        <f>VLOOKUP(B27,'Airport Parameters'!$A:$G,7,FALSE)</f>
        <v>356667</v>
      </c>
      <c r="G27" s="5"/>
      <c r="H27" s="5"/>
      <c r="I27" s="4"/>
    </row>
    <row r="28" spans="1:9" ht="24" x14ac:dyDescent="0.4">
      <c r="A28" s="5" t="s">
        <v>75</v>
      </c>
      <c r="B28" s="5" t="s">
        <v>174</v>
      </c>
      <c r="C28" s="5">
        <v>623</v>
      </c>
      <c r="D28" s="5">
        <f>IFERROR(2*3440.065*ASIN(SQRT(SIN(RADIANS(VLOOKUP($B28,'Airport Parameters'!$A:$D,3,FALSE())-VLOOKUP($A28,'Airport Parameters'!$A:$D,3,FALSE()))/2)^2+COS(RADIANS(VLOOKUP($A28,'Airport Parameters'!$A:$D,3,FALSE())))*COS(RADIANS(VLOOKUP($B28,'Airport Parameters'!$A:$D,3,FALSE())))*SIN(RADIANS(VLOOKUP($B28,'Airport Parameters'!$A:$D,4,FALSE())-VLOOKUP($A28,'Airport Parameters'!$A:$D,4,FALSE()))/2)^2)),"")</f>
        <v>1466.76467202559</v>
      </c>
      <c r="E28" s="5">
        <f>VLOOKUP(A28,'Airport Parameters'!$A:$G,7,FALSE)</f>
        <v>536000</v>
      </c>
      <c r="F28" s="5">
        <f>VLOOKUP(B28,'Airport Parameters'!$A:$G,7,FALSE)</f>
        <v>127467</v>
      </c>
      <c r="G28" s="5"/>
      <c r="H28" s="5"/>
      <c r="I28" s="4"/>
    </row>
    <row r="29" spans="1:9" ht="24" x14ac:dyDescent="0.4">
      <c r="A29" s="5" t="s">
        <v>65</v>
      </c>
      <c r="B29" s="5" t="s">
        <v>208</v>
      </c>
      <c r="C29" s="5">
        <v>401</v>
      </c>
      <c r="D29" s="5">
        <f>IFERROR(2*3440.065*ASIN(SQRT(SIN(RADIANS(VLOOKUP($B29,'Airport Parameters'!$A:$D,3,FALSE())-VLOOKUP($A29,'Airport Parameters'!$A:$D,3,FALSE()))/2)^2+COS(RADIANS(VLOOKUP($A29,'Airport Parameters'!$A:$D,3,FALSE())))*COS(RADIANS(VLOOKUP($B29,'Airport Parameters'!$A:$D,3,FALSE())))*SIN(RADIANS(VLOOKUP($B29,'Airport Parameters'!$A:$D,4,FALSE())-VLOOKUP($A29,'Airport Parameters'!$A:$D,4,FALSE()))/2)^2)),"")</f>
        <v>1505.4782229145608</v>
      </c>
      <c r="E29" s="5">
        <f>VLOOKUP(A29,'Airport Parameters'!$A:$G,7,FALSE)</f>
        <v>511500</v>
      </c>
      <c r="F29" s="5">
        <f>VLOOKUP(B29,'Airport Parameters'!$A:$G,7,FALSE)</f>
        <v>889000</v>
      </c>
      <c r="G29" s="5"/>
      <c r="H29" s="5" t="s">
        <v>288</v>
      </c>
      <c r="I29" s="4"/>
    </row>
    <row r="30" spans="1:9" ht="24" x14ac:dyDescent="0.4">
      <c r="A30" s="5" t="s">
        <v>55</v>
      </c>
      <c r="B30" s="5" t="s">
        <v>210</v>
      </c>
      <c r="C30" s="5">
        <v>314</v>
      </c>
      <c r="D30" s="5">
        <f>IFERROR(2*3440.065*ASIN(SQRT(SIN(RADIANS(VLOOKUP($B30,'Airport Parameters'!$A:$D,3,FALSE())-VLOOKUP($A30,'Airport Parameters'!$A:$D,3,FALSE()))/2)^2+COS(RADIANS(VLOOKUP($A30,'Airport Parameters'!$A:$D,3,FALSE())))*COS(RADIANS(VLOOKUP($B30,'Airport Parameters'!$A:$D,3,FALSE())))*SIN(RADIANS(VLOOKUP($B30,'Airport Parameters'!$A:$D,4,FALSE())-VLOOKUP($A30,'Airport Parameters'!$A:$D,4,FALSE()))/2)^2)),"")</f>
        <v>1544.678543015438</v>
      </c>
      <c r="E30" s="5">
        <f>VLOOKUP(A30,'Airport Parameters'!$A:$G,7,FALSE)</f>
        <v>57939</v>
      </c>
      <c r="F30" s="5">
        <f>VLOOKUP(B30,'Airport Parameters'!$A:$G,7,FALSE)</f>
        <v>508</v>
      </c>
      <c r="G30" s="5"/>
      <c r="H30" s="5"/>
      <c r="I30" s="4"/>
    </row>
    <row r="31" spans="1:9" ht="24" x14ac:dyDescent="0.4">
      <c r="A31" s="5" t="s">
        <v>134</v>
      </c>
      <c r="B31" s="5" t="s">
        <v>198</v>
      </c>
      <c r="C31" s="5">
        <v>509</v>
      </c>
      <c r="D31" s="5">
        <f>IFERROR(2*3440.065*ASIN(SQRT(SIN(RADIANS(VLOOKUP($B31,'Airport Parameters'!$A:$D,3,FALSE())-VLOOKUP($A31,'Airport Parameters'!$A:$D,3,FALSE()))/2)^2+COS(RADIANS(VLOOKUP($A31,'Airport Parameters'!$A:$D,3,FALSE())))*COS(RADIANS(VLOOKUP($B31,'Airport Parameters'!$A:$D,3,FALSE())))*SIN(RADIANS(VLOOKUP($B31,'Airport Parameters'!$A:$D,4,FALSE())-VLOOKUP($A31,'Airport Parameters'!$A:$D,4,FALSE()))/2)^2)),"")</f>
        <v>1673.7731682296469</v>
      </c>
      <c r="E31" s="5">
        <f>VLOOKUP(A31,'Airport Parameters'!$A:$G,7,FALSE)</f>
        <v>637333</v>
      </c>
      <c r="F31" s="5">
        <f>VLOOKUP(B31,'Airport Parameters'!$A:$G,7,FALSE)</f>
        <v>19429</v>
      </c>
      <c r="G31" s="5"/>
      <c r="H31" s="5"/>
      <c r="I31" s="4"/>
    </row>
    <row r="32" spans="1:9" ht="24" x14ac:dyDescent="0.4">
      <c r="A32" s="5" t="s">
        <v>91</v>
      </c>
      <c r="B32" s="5" t="s">
        <v>254</v>
      </c>
      <c r="C32" s="5">
        <v>277</v>
      </c>
      <c r="D32" s="5">
        <f>IFERROR(2*3440.065*ASIN(SQRT(SIN(RADIANS(VLOOKUP($B32,'Airport Parameters'!$A:$D,3,FALSE())-VLOOKUP($A32,'Airport Parameters'!$A:$D,3,FALSE()))/2)^2+COS(RADIANS(VLOOKUP($A32,'Airport Parameters'!$A:$D,3,FALSE())))*COS(RADIANS(VLOOKUP($B32,'Airport Parameters'!$A:$D,3,FALSE())))*SIN(RADIANS(VLOOKUP($B32,'Airport Parameters'!$A:$D,4,FALSE())-VLOOKUP($A32,'Airport Parameters'!$A:$D,4,FALSE()))/2)^2)),"")</f>
        <v>1769.1101579451563</v>
      </c>
      <c r="E32" s="5">
        <f>VLOOKUP(A32,'Airport Parameters'!$A:$G,7,FALSE)</f>
        <v>6718</v>
      </c>
      <c r="F32" s="5">
        <f>VLOOKUP(B32,'Airport Parameters'!$A:$G,7,FALSE)</f>
        <v>18169</v>
      </c>
      <c r="G32" s="5"/>
      <c r="H32" s="5"/>
      <c r="I32" s="4"/>
    </row>
    <row r="33" spans="1:9" ht="24" x14ac:dyDescent="0.4">
      <c r="A33" s="5" t="s">
        <v>33</v>
      </c>
      <c r="B33" s="5" t="s">
        <v>242</v>
      </c>
      <c r="C33" s="5">
        <v>657</v>
      </c>
      <c r="D33" s="5">
        <f>IFERROR(2*3440.065*ASIN(SQRT(SIN(RADIANS(VLOOKUP($B33,'Airport Parameters'!$A:$D,3,FALSE())-VLOOKUP($A33,'Airport Parameters'!$A:$D,3,FALSE()))/2)^2+COS(RADIANS(VLOOKUP($A33,'Airport Parameters'!$A:$D,3,FALSE())))*COS(RADIANS(VLOOKUP($B33,'Airport Parameters'!$A:$D,3,FALSE())))*SIN(RADIANS(VLOOKUP($B33,'Airport Parameters'!$A:$D,4,FALSE())-VLOOKUP($A33,'Airport Parameters'!$A:$D,4,FALSE()))/2)^2)),"")</f>
        <v>1851.6097247448856</v>
      </c>
      <c r="E33" s="5">
        <f>VLOOKUP(A33,'Airport Parameters'!$A:$G,7,FALSE)</f>
        <v>159333</v>
      </c>
      <c r="F33" s="5">
        <f>VLOOKUP(B33,'Airport Parameters'!$A:$G,7,FALSE)</f>
        <v>356667</v>
      </c>
      <c r="G33" s="5"/>
      <c r="H33" s="5"/>
      <c r="I33" s="4"/>
    </row>
    <row r="34" spans="1:9" ht="24" x14ac:dyDescent="0.4">
      <c r="A34" s="5" t="s">
        <v>118</v>
      </c>
      <c r="B34" s="5" t="s">
        <v>270</v>
      </c>
      <c r="C34" s="5">
        <v>262</v>
      </c>
      <c r="D34" s="5">
        <f>IFERROR(2*3440.065*ASIN(SQRT(SIN(RADIANS(VLOOKUP($B34,'Airport Parameters'!$A:$D,3,FALSE())-VLOOKUP($A34,'Airport Parameters'!$A:$D,3,FALSE()))/2)^2+COS(RADIANS(VLOOKUP($A34,'Airport Parameters'!$A:$D,3,FALSE())))*COS(RADIANS(VLOOKUP($B34,'Airport Parameters'!$A:$D,3,FALSE())))*SIN(RADIANS(VLOOKUP($B34,'Airport Parameters'!$A:$D,4,FALSE())-VLOOKUP($A34,'Airport Parameters'!$A:$D,4,FALSE()))/2)^2)),"")</f>
        <v>1888.9911186867212</v>
      </c>
      <c r="E34" s="5">
        <f>VLOOKUP(A34,'Airport Parameters'!$A:$G,7,FALSE)</f>
        <v>3014</v>
      </c>
      <c r="F34" s="5">
        <f>VLOOKUP(B34,'Airport Parameters'!$A:$G,7,FALSE)</f>
        <v>471500</v>
      </c>
      <c r="G34" s="5"/>
      <c r="H34" s="5"/>
      <c r="I34" s="4"/>
    </row>
    <row r="35" spans="1:9" ht="24" x14ac:dyDescent="0.4">
      <c r="A35" s="5" t="s">
        <v>65</v>
      </c>
      <c r="B35" s="5" t="s">
        <v>154</v>
      </c>
      <c r="C35" s="5">
        <v>250</v>
      </c>
      <c r="D35" s="5">
        <f>IFERROR(2*3440.065*ASIN(SQRT(SIN(RADIANS(VLOOKUP($B35,'Airport Parameters'!$A:$D,3,FALSE())-VLOOKUP($A35,'Airport Parameters'!$A:$D,3,FALSE()))/2)^2+COS(RADIANS(VLOOKUP($A35,'Airport Parameters'!$A:$D,3,FALSE())))*COS(RADIANS(VLOOKUP($B35,'Airport Parameters'!$A:$D,3,FALSE())))*SIN(RADIANS(VLOOKUP($B35,'Airport Parameters'!$A:$D,4,FALSE())-VLOOKUP($A35,'Airport Parameters'!$A:$D,4,FALSE()))/2)^2)),"")</f>
        <v>2135.0483163522558</v>
      </c>
      <c r="E35" s="5">
        <f>VLOOKUP(A35,'Airport Parameters'!$A:$G,7,FALSE)</f>
        <v>511500</v>
      </c>
      <c r="F35" s="5">
        <f>VLOOKUP(B35,'Airport Parameters'!$A:$G,7,FALSE)</f>
        <v>414</v>
      </c>
      <c r="G35" s="5"/>
      <c r="H35" s="5"/>
      <c r="I35" s="4"/>
    </row>
    <row r="36" spans="1:9" ht="24" x14ac:dyDescent="0.4">
      <c r="A36" s="5" t="s">
        <v>55</v>
      </c>
      <c r="B36" s="5" t="s">
        <v>71</v>
      </c>
      <c r="C36" s="5">
        <v>715</v>
      </c>
      <c r="D36" s="5">
        <f>IFERROR(2*3440.065*ASIN(SQRT(SIN(RADIANS(VLOOKUP($B36,'Airport Parameters'!$A:$D,3,FALSE())-VLOOKUP($A36,'Airport Parameters'!$A:$D,3,FALSE()))/2)^2+COS(RADIANS(VLOOKUP($A36,'Airport Parameters'!$A:$D,3,FALSE())))*COS(RADIANS(VLOOKUP($B36,'Airport Parameters'!$A:$D,3,FALSE())))*SIN(RADIANS(VLOOKUP($B36,'Airport Parameters'!$A:$D,4,FALSE())-VLOOKUP($A36,'Airport Parameters'!$A:$D,4,FALSE()))/2)^2)),"")</f>
        <v>2173.13846624999</v>
      </c>
      <c r="E36" s="5">
        <f>VLOOKUP(A36,'Airport Parameters'!$A:$G,7,FALSE)</f>
        <v>57939</v>
      </c>
      <c r="F36" s="5">
        <f>VLOOKUP(B36,'Airport Parameters'!$A:$G,7,FALSE)</f>
        <v>956000</v>
      </c>
      <c r="G36" s="5"/>
      <c r="H36" s="5"/>
      <c r="I36" s="4"/>
    </row>
    <row r="37" spans="1:9" ht="24" x14ac:dyDescent="0.4">
      <c r="A37" s="5" t="s">
        <v>248</v>
      </c>
      <c r="B37" s="5" t="s">
        <v>256</v>
      </c>
      <c r="C37" s="5">
        <v>623</v>
      </c>
      <c r="D37" s="5">
        <f>IFERROR(2*3440.065*ASIN(SQRT(SIN(RADIANS(VLOOKUP($B37,'Airport Parameters'!$A:$D,3,FALSE())-VLOOKUP($A37,'Airport Parameters'!$A:$D,3,FALSE()))/2)^2+COS(RADIANS(VLOOKUP($A37,'Airport Parameters'!$A:$D,3,FALSE())))*COS(RADIANS(VLOOKUP($B37,'Airport Parameters'!$A:$D,3,FALSE())))*SIN(RADIANS(VLOOKUP($B37,'Airport Parameters'!$A:$D,4,FALSE())-VLOOKUP($A37,'Airport Parameters'!$A:$D,4,FALSE()))/2)^2)),"")</f>
        <v>2233.5699741253702</v>
      </c>
      <c r="E37" s="5">
        <f>VLOOKUP(A37,'Airport Parameters'!$A:$G,7,FALSE)</f>
        <v>272500</v>
      </c>
      <c r="F37" s="5">
        <f>VLOOKUP(B37,'Airport Parameters'!$A:$G,7,FALSE)</f>
        <v>133750</v>
      </c>
      <c r="G37" s="5"/>
      <c r="H37" s="5"/>
      <c r="I37" s="4"/>
    </row>
    <row r="38" spans="1:9" ht="24" x14ac:dyDescent="0.4">
      <c r="A38" s="5" t="s">
        <v>132</v>
      </c>
      <c r="B38" s="5" t="s">
        <v>272</v>
      </c>
      <c r="C38" s="5">
        <v>577</v>
      </c>
      <c r="D38" s="5">
        <f>IFERROR(2*3440.065*ASIN(SQRT(SIN(RADIANS(VLOOKUP($B38,'Airport Parameters'!$A:$D,3,FALSE())-VLOOKUP($A38,'Airport Parameters'!$A:$D,3,FALSE()))/2)^2+COS(RADIANS(VLOOKUP($A38,'Airport Parameters'!$A:$D,3,FALSE())))*COS(RADIANS(VLOOKUP($B38,'Airport Parameters'!$A:$D,3,FALSE())))*SIN(RADIANS(VLOOKUP($B38,'Airport Parameters'!$A:$D,4,FALSE())-VLOOKUP($A38,'Airport Parameters'!$A:$D,4,FALSE()))/2)^2)),"")</f>
        <v>2298.369109714642</v>
      </c>
      <c r="E38" s="5">
        <f>VLOOKUP(A38,'Airport Parameters'!$A:$G,7,FALSE)</f>
        <v>1768000</v>
      </c>
      <c r="F38" s="5">
        <f>VLOOKUP(B38,'Airport Parameters'!$A:$G,7,FALSE)</f>
        <v>104778</v>
      </c>
      <c r="G38" s="5"/>
      <c r="H38" s="5"/>
      <c r="I38" s="4"/>
    </row>
    <row r="39" spans="1:9" ht="24" x14ac:dyDescent="0.4">
      <c r="A39" s="5" t="s">
        <v>87</v>
      </c>
      <c r="B39" s="5" t="s">
        <v>134</v>
      </c>
      <c r="C39" s="5">
        <v>762</v>
      </c>
      <c r="D39" s="5">
        <f>IFERROR(2*3440.065*ASIN(SQRT(SIN(RADIANS(VLOOKUP($B39,'Airport Parameters'!$A:$D,3,FALSE())-VLOOKUP($A39,'Airport Parameters'!$A:$D,3,FALSE()))/2)^2+COS(RADIANS(VLOOKUP($A39,'Airport Parameters'!$A:$D,3,FALSE())))*COS(RADIANS(VLOOKUP($B39,'Airport Parameters'!$A:$D,3,FALSE())))*SIN(RADIANS(VLOOKUP($B39,'Airport Parameters'!$A:$D,4,FALSE())-VLOOKUP($A39,'Airport Parameters'!$A:$D,4,FALSE()))/2)^2)),"")</f>
        <v>2512.1352018826551</v>
      </c>
      <c r="E39" s="5">
        <f>VLOOKUP(A39,'Airport Parameters'!$A:$G,7,FALSE)</f>
        <v>1787000</v>
      </c>
      <c r="F39" s="5">
        <f>VLOOKUP(B39,'Airport Parameters'!$A:$G,7,FALSE)</f>
        <v>637333</v>
      </c>
      <c r="G39" s="5"/>
      <c r="H39" s="5"/>
      <c r="I39" s="4"/>
    </row>
    <row r="40" spans="1:9" ht="24" x14ac:dyDescent="0.4">
      <c r="A40" s="5" t="s">
        <v>103</v>
      </c>
      <c r="B40" s="5" t="s">
        <v>136</v>
      </c>
      <c r="C40" s="5">
        <v>641</v>
      </c>
      <c r="D40" s="5">
        <f>IFERROR(2*3440.065*ASIN(SQRT(SIN(RADIANS(VLOOKUP($B40,'Airport Parameters'!$A:$D,3,FALSE())-VLOOKUP($A40,'Airport Parameters'!$A:$D,3,FALSE()))/2)^2+COS(RADIANS(VLOOKUP($A40,'Airport Parameters'!$A:$D,3,FALSE())))*COS(RADIANS(VLOOKUP($B40,'Airport Parameters'!$A:$D,3,FALSE())))*SIN(RADIANS(VLOOKUP($B40,'Airport Parameters'!$A:$D,4,FALSE())-VLOOKUP($A40,'Airport Parameters'!$A:$D,4,FALSE()))/2)^2)),"")</f>
        <v>2512.2792776423944</v>
      </c>
      <c r="E40" s="5">
        <f>VLOOKUP(A40,'Airport Parameters'!$A:$G,7,FALSE)</f>
        <v>296000</v>
      </c>
      <c r="F40" s="5">
        <f>VLOOKUP(B40,'Airport Parameters'!$A:$G,7,FALSE)</f>
        <v>68855</v>
      </c>
      <c r="G40" s="5"/>
      <c r="H40" s="5"/>
      <c r="I40" s="4"/>
    </row>
    <row r="41" spans="1:9" ht="24" x14ac:dyDescent="0.4">
      <c r="A41" s="5" t="s">
        <v>93</v>
      </c>
      <c r="B41" s="5" t="s">
        <v>136</v>
      </c>
      <c r="C41" s="5">
        <v>603</v>
      </c>
      <c r="D41" s="5">
        <f>IFERROR(2*3440.065*ASIN(SQRT(SIN(RADIANS(VLOOKUP($B41,'Airport Parameters'!$A:$D,3,FALSE())-VLOOKUP($A41,'Airport Parameters'!$A:$D,3,FALSE()))/2)^2+COS(RADIANS(VLOOKUP($A41,'Airport Parameters'!$A:$D,3,FALSE())))*COS(RADIANS(VLOOKUP($B41,'Airport Parameters'!$A:$D,3,FALSE())))*SIN(RADIANS(VLOOKUP($B41,'Airport Parameters'!$A:$D,4,FALSE())-VLOOKUP($A41,'Airport Parameters'!$A:$D,4,FALSE()))/2)^2)),"")</f>
        <v>2582.457095416808</v>
      </c>
      <c r="E41" s="5">
        <f>VLOOKUP(A41,'Airport Parameters'!$A:$G,7,FALSE)</f>
        <v>26071</v>
      </c>
      <c r="F41" s="5">
        <f>VLOOKUP(B41,'Airport Parameters'!$A:$G,7,FALSE)</f>
        <v>68855</v>
      </c>
      <c r="G41" s="5"/>
      <c r="H41" s="5"/>
      <c r="I41" s="4"/>
    </row>
    <row r="42" spans="1:9" ht="24" x14ac:dyDescent="0.4">
      <c r="A42" s="5" t="s">
        <v>99</v>
      </c>
      <c r="B42" s="5" t="s">
        <v>126</v>
      </c>
      <c r="C42" s="5">
        <v>684</v>
      </c>
      <c r="D42" s="5">
        <f>IFERROR(2*3440.065*ASIN(SQRT(SIN(RADIANS(VLOOKUP($B42,'Airport Parameters'!$A:$D,3,FALSE())-VLOOKUP($A42,'Airport Parameters'!$A:$D,3,FALSE()))/2)^2+COS(RADIANS(VLOOKUP($A42,'Airport Parameters'!$A:$D,3,FALSE())))*COS(RADIANS(VLOOKUP($B42,'Airport Parameters'!$A:$D,3,FALSE())))*SIN(RADIANS(VLOOKUP($B42,'Airport Parameters'!$A:$D,4,FALSE())-VLOOKUP($A42,'Airport Parameters'!$A:$D,4,FALSE()))/2)^2)),"")</f>
        <v>2660.4730634641596</v>
      </c>
      <c r="E42" s="5">
        <f>VLOOKUP(A42,'Airport Parameters'!$A:$G,7,FALSE)</f>
        <v>685000</v>
      </c>
      <c r="F42" s="5">
        <f>VLOOKUP(B42,'Airport Parameters'!$A:$G,7,FALSE)</f>
        <v>203250</v>
      </c>
      <c r="G42" s="5"/>
      <c r="H42" s="5"/>
      <c r="I42" s="4"/>
    </row>
    <row r="43" spans="1:9" ht="24" x14ac:dyDescent="0.4">
      <c r="A43" s="5" t="s">
        <v>61</v>
      </c>
      <c r="B43" s="5" t="s">
        <v>160</v>
      </c>
      <c r="C43" s="5">
        <v>773</v>
      </c>
      <c r="D43" s="5">
        <f>IFERROR(2*3440.065*ASIN(SQRT(SIN(RADIANS(VLOOKUP($B43,'Airport Parameters'!$A:$D,3,FALSE())-VLOOKUP($A43,'Airport Parameters'!$A:$D,3,FALSE()))/2)^2+COS(RADIANS(VLOOKUP($A43,'Airport Parameters'!$A:$D,3,FALSE())))*COS(RADIANS(VLOOKUP($B43,'Airport Parameters'!$A:$D,3,FALSE())))*SIN(RADIANS(VLOOKUP($B43,'Airport Parameters'!$A:$D,4,FALSE())-VLOOKUP($A43,'Airport Parameters'!$A:$D,4,FALSE()))/2)^2)),"")</f>
        <v>2728.4200246863506</v>
      </c>
      <c r="E43" s="5">
        <f>VLOOKUP(A43,'Airport Parameters'!$A:$G,7,FALSE)</f>
        <v>1028000</v>
      </c>
      <c r="F43" s="5">
        <f>VLOOKUP(B43,'Airport Parameters'!$A:$G,7,FALSE)</f>
        <v>254000</v>
      </c>
      <c r="G43" s="5"/>
      <c r="H43" s="5"/>
      <c r="I43" s="4"/>
    </row>
    <row r="44" spans="1:9" ht="24" x14ac:dyDescent="0.4">
      <c r="A44" s="5" t="s">
        <v>174</v>
      </c>
      <c r="B44" s="5" t="s">
        <v>208</v>
      </c>
      <c r="C44" s="5">
        <v>639</v>
      </c>
      <c r="D44" s="5">
        <f>IFERROR(2*3440.065*ASIN(SQRT(SIN(RADIANS(VLOOKUP($B44,'Airport Parameters'!$A:$D,3,FALSE())-VLOOKUP($A44,'Airport Parameters'!$A:$D,3,FALSE()))/2)^2+COS(RADIANS(VLOOKUP($A44,'Airport Parameters'!$A:$D,3,FALSE())))*COS(RADIANS(VLOOKUP($B44,'Airport Parameters'!$A:$D,3,FALSE())))*SIN(RADIANS(VLOOKUP($B44,'Airport Parameters'!$A:$D,4,FALSE())-VLOOKUP($A44,'Airport Parameters'!$A:$D,4,FALSE()))/2)^2)),"")</f>
        <v>2796.4370602056892</v>
      </c>
      <c r="E44" s="5">
        <f>VLOOKUP(A44,'Airport Parameters'!$A:$G,7,FALSE)</f>
        <v>127467</v>
      </c>
      <c r="F44" s="5">
        <f>VLOOKUP(B44,'Airport Parameters'!$A:$G,7,FALSE)</f>
        <v>889000</v>
      </c>
      <c r="G44" s="5"/>
      <c r="H44" s="5"/>
      <c r="I44" s="4"/>
    </row>
    <row r="45" spans="1:9" ht="24" x14ac:dyDescent="0.4">
      <c r="A45" s="5" t="s">
        <v>148</v>
      </c>
      <c r="B45" s="5" t="s">
        <v>182</v>
      </c>
      <c r="C45" s="5">
        <v>635</v>
      </c>
      <c r="D45" s="5">
        <f>IFERROR(2*3440.065*ASIN(SQRT(SIN(RADIANS(VLOOKUP($B45,'Airport Parameters'!$A:$D,3,FALSE())-VLOOKUP($A45,'Airport Parameters'!$A:$D,3,FALSE()))/2)^2+COS(RADIANS(VLOOKUP($A45,'Airport Parameters'!$A:$D,3,FALSE())))*COS(RADIANS(VLOOKUP($B45,'Airport Parameters'!$A:$D,3,FALSE())))*SIN(RADIANS(VLOOKUP($B45,'Airport Parameters'!$A:$D,4,FALSE())-VLOOKUP($A45,'Airport Parameters'!$A:$D,4,FALSE()))/2)^2)),"")</f>
        <v>2864.6775742655536</v>
      </c>
      <c r="E45" s="5">
        <f>VLOOKUP(A45,'Airport Parameters'!$A:$G,7,FALSE)</f>
        <v>1912000</v>
      </c>
      <c r="F45" s="5">
        <f>VLOOKUP(B45,'Airport Parameters'!$A:$G,7,FALSE)</f>
        <v>312894</v>
      </c>
      <c r="G45" s="5"/>
      <c r="H45" s="5"/>
      <c r="I45" s="4"/>
    </row>
    <row r="46" spans="1:9" ht="24" x14ac:dyDescent="0.4">
      <c r="A46" s="5" t="s">
        <v>107</v>
      </c>
      <c r="B46" s="5" t="s">
        <v>280</v>
      </c>
      <c r="C46" s="5">
        <v>474</v>
      </c>
      <c r="D46" s="5">
        <f>IFERROR(2*3440.065*ASIN(SQRT(SIN(RADIANS(VLOOKUP($B46,'Airport Parameters'!$A:$D,3,FALSE())-VLOOKUP($A46,'Airport Parameters'!$A:$D,3,FALSE()))/2)^2+COS(RADIANS(VLOOKUP($A46,'Airport Parameters'!$A:$D,3,FALSE())))*COS(RADIANS(VLOOKUP($B46,'Airport Parameters'!$A:$D,3,FALSE())))*SIN(RADIANS(VLOOKUP($B46,'Airport Parameters'!$A:$D,4,FALSE())-VLOOKUP($A46,'Airport Parameters'!$A:$D,4,FALSE()))/2)^2)),"")</f>
        <v>3057.5347596708816</v>
      </c>
      <c r="E46" s="5">
        <f>VLOOKUP(A46,'Airport Parameters'!$A:$G,7,FALSE)</f>
        <v>356667</v>
      </c>
      <c r="F46" s="5">
        <f>VLOOKUP(B46,'Airport Parameters'!$A:$G,7,FALSE)</f>
        <v>876</v>
      </c>
      <c r="G46" s="5"/>
      <c r="H46" s="5"/>
      <c r="I46" s="4"/>
    </row>
    <row r="47" spans="1:9" ht="24" x14ac:dyDescent="0.4">
      <c r="A47" s="5" t="s">
        <v>126</v>
      </c>
      <c r="B47" s="5" t="s">
        <v>242</v>
      </c>
      <c r="C47" s="5">
        <v>681</v>
      </c>
      <c r="D47" s="5">
        <f>IFERROR(2*3440.065*ASIN(SQRT(SIN(RADIANS(VLOOKUP($B47,'Airport Parameters'!$A:$D,3,FALSE())-VLOOKUP($A47,'Airport Parameters'!$A:$D,3,FALSE()))/2)^2+COS(RADIANS(VLOOKUP($A47,'Airport Parameters'!$A:$D,3,FALSE())))*COS(RADIANS(VLOOKUP($B47,'Airport Parameters'!$A:$D,3,FALSE())))*SIN(RADIANS(VLOOKUP($B47,'Airport Parameters'!$A:$D,4,FALSE())-VLOOKUP($A47,'Airport Parameters'!$A:$D,4,FALSE()))/2)^2)),"")</f>
        <v>3116.9750028840995</v>
      </c>
      <c r="E47" s="5">
        <f>VLOOKUP(A47,'Airport Parameters'!$A:$G,7,FALSE)</f>
        <v>203250</v>
      </c>
      <c r="F47" s="5">
        <f>VLOOKUP(B47,'Airport Parameters'!$A:$G,7,FALSE)</f>
        <v>356667</v>
      </c>
      <c r="G47" s="5"/>
      <c r="H47" s="5"/>
      <c r="I47" s="4"/>
    </row>
    <row r="48" spans="1:9" ht="24" x14ac:dyDescent="0.4">
      <c r="A48" s="5" t="s">
        <v>97</v>
      </c>
      <c r="B48" s="5" t="s">
        <v>228</v>
      </c>
      <c r="C48" s="5">
        <v>755</v>
      </c>
      <c r="D48" s="5">
        <f>IFERROR(2*3440.065*ASIN(SQRT(SIN(RADIANS(VLOOKUP($B48,'Airport Parameters'!$A:$D,3,FALSE())-VLOOKUP($A48,'Airport Parameters'!$A:$D,3,FALSE()))/2)^2+COS(RADIANS(VLOOKUP($A48,'Airport Parameters'!$A:$D,3,FALSE())))*COS(RADIANS(VLOOKUP($B48,'Airport Parameters'!$A:$D,3,FALSE())))*SIN(RADIANS(VLOOKUP($B48,'Airport Parameters'!$A:$D,4,FALSE())-VLOOKUP($A48,'Airport Parameters'!$A:$D,4,FALSE()))/2)^2)),"")</f>
        <v>3327.4687059396424</v>
      </c>
      <c r="E48" s="5">
        <f>VLOOKUP(A48,'Airport Parameters'!$A:$G,7,FALSE)</f>
        <v>511500</v>
      </c>
      <c r="F48" s="5">
        <f>VLOOKUP(B48,'Airport Parameters'!$A:$G,7,FALSE)</f>
        <v>2180000</v>
      </c>
      <c r="G48" s="5"/>
      <c r="H48" s="5"/>
      <c r="I48" s="4"/>
    </row>
    <row r="49" spans="1:9" ht="24" x14ac:dyDescent="0.4">
      <c r="A49" s="5" t="s">
        <v>35</v>
      </c>
      <c r="B49" s="5" t="s">
        <v>75</v>
      </c>
      <c r="C49" s="5">
        <v>657</v>
      </c>
      <c r="D49" s="5">
        <f>IFERROR(2*3440.065*ASIN(SQRT(SIN(RADIANS(VLOOKUP($B49,'Airport Parameters'!$A:$D,3,FALSE())-VLOOKUP($A49,'Airport Parameters'!$A:$D,3,FALSE()))/2)^2+COS(RADIANS(VLOOKUP($A49,'Airport Parameters'!$A:$D,3,FALSE())))*COS(RADIANS(VLOOKUP($B49,'Airport Parameters'!$A:$D,3,FALSE())))*SIN(RADIANS(VLOOKUP($B49,'Airport Parameters'!$A:$D,4,FALSE())-VLOOKUP($A49,'Airport Parameters'!$A:$D,4,FALSE()))/2)^2)),"")</f>
        <v>3431.6280876778224</v>
      </c>
      <c r="E49" s="5">
        <f>VLOOKUP(A49,'Airport Parameters'!$A:$G,7,FALSE)</f>
        <v>153000</v>
      </c>
      <c r="F49" s="5">
        <f>VLOOKUP(B49,'Airport Parameters'!$A:$G,7,FALSE)</f>
        <v>536000</v>
      </c>
      <c r="G49" s="5"/>
      <c r="H49" s="5"/>
      <c r="I49" s="4"/>
    </row>
    <row r="50" spans="1:9" ht="24" x14ac:dyDescent="0.4">
      <c r="A50" s="5" t="s">
        <v>93</v>
      </c>
      <c r="B50" s="5" t="s">
        <v>220</v>
      </c>
      <c r="C50" s="5">
        <v>208</v>
      </c>
      <c r="D50" s="5">
        <f>IFERROR(2*3440.065*ASIN(SQRT(SIN(RADIANS(VLOOKUP($B50,'Airport Parameters'!$A:$D,3,FALSE())-VLOOKUP($A50,'Airport Parameters'!$A:$D,3,FALSE()))/2)^2+COS(RADIANS(VLOOKUP($A50,'Airport Parameters'!$A:$D,3,FALSE())))*COS(RADIANS(VLOOKUP($B50,'Airport Parameters'!$A:$D,3,FALSE())))*SIN(RADIANS(VLOOKUP($B50,'Airport Parameters'!$A:$D,4,FALSE())-VLOOKUP($A50,'Airport Parameters'!$A:$D,4,FALSE()))/2)^2)),"")</f>
        <v>3443.4531726526056</v>
      </c>
      <c r="E50" s="5">
        <f>VLOOKUP(A50,'Airport Parameters'!$A:$G,7,FALSE)</f>
        <v>26071</v>
      </c>
      <c r="F50" s="5">
        <f>VLOOKUP(B50,'Airport Parameters'!$A:$G,7,FALSE)</f>
        <v>340</v>
      </c>
      <c r="G50" s="5"/>
      <c r="H50" s="5"/>
      <c r="I50" s="4"/>
    </row>
    <row r="51" spans="1:9" ht="24" x14ac:dyDescent="0.4">
      <c r="A51" s="5" t="s">
        <v>116</v>
      </c>
      <c r="B51" s="5" t="s">
        <v>134</v>
      </c>
      <c r="C51" s="5">
        <v>631</v>
      </c>
      <c r="D51" s="5">
        <f>IFERROR(2*3440.065*ASIN(SQRT(SIN(RADIANS(VLOOKUP($B51,'Airport Parameters'!$A:$D,3,FALSE())-VLOOKUP($A51,'Airport Parameters'!$A:$D,3,FALSE()))/2)^2+COS(RADIANS(VLOOKUP($A51,'Airport Parameters'!$A:$D,3,FALSE())))*COS(RADIANS(VLOOKUP($B51,'Airport Parameters'!$A:$D,3,FALSE())))*SIN(RADIANS(VLOOKUP($B51,'Airport Parameters'!$A:$D,4,FALSE())-VLOOKUP($A51,'Airport Parameters'!$A:$D,4,FALSE()))/2)^2)),"")</f>
        <v>3454.5423981914523</v>
      </c>
      <c r="E51" s="5">
        <f>VLOOKUP(A51,'Airport Parameters'!$A:$G,7,FALSE)</f>
        <v>254000</v>
      </c>
      <c r="F51" s="5">
        <f>VLOOKUP(B51,'Airport Parameters'!$A:$G,7,FALSE)</f>
        <v>637333</v>
      </c>
      <c r="G51" s="5"/>
      <c r="H51" s="5"/>
      <c r="I51" s="4"/>
    </row>
    <row r="52" spans="1:9" ht="24" x14ac:dyDescent="0.4">
      <c r="A52" s="5" t="s">
        <v>45</v>
      </c>
      <c r="B52" s="5" t="s">
        <v>218</v>
      </c>
      <c r="C52" s="5">
        <v>465</v>
      </c>
      <c r="D52" s="5">
        <f>IFERROR(2*3440.065*ASIN(SQRT(SIN(RADIANS(VLOOKUP($B52,'Airport Parameters'!$A:$D,3,FALSE())-VLOOKUP($A52,'Airport Parameters'!$A:$D,3,FALSE()))/2)^2+COS(RADIANS(VLOOKUP($A52,'Airport Parameters'!$A:$D,3,FALSE())))*COS(RADIANS(VLOOKUP($B52,'Airport Parameters'!$A:$D,3,FALSE())))*SIN(RADIANS(VLOOKUP($B52,'Airport Parameters'!$A:$D,4,FALSE())-VLOOKUP($A52,'Airport Parameters'!$A:$D,4,FALSE()))/2)^2)),"")</f>
        <v>3498.9567246713459</v>
      </c>
      <c r="E52" s="5">
        <f>VLOOKUP(A52,'Airport Parameters'!$A:$G,7,FALSE)</f>
        <v>20815</v>
      </c>
      <c r="F52" s="5">
        <f>VLOOKUP(B52,'Airport Parameters'!$A:$G,7,FALSE)</f>
        <v>637333</v>
      </c>
      <c r="G52" s="5"/>
      <c r="H52" s="5"/>
      <c r="I52" s="4"/>
    </row>
    <row r="53" spans="1:9" ht="24" x14ac:dyDescent="0.4">
      <c r="A53" s="5" t="s">
        <v>77</v>
      </c>
      <c r="B53" s="5" t="s">
        <v>244</v>
      </c>
      <c r="C53" s="5">
        <v>239</v>
      </c>
      <c r="D53" s="5">
        <f>IFERROR(2*3440.065*ASIN(SQRT(SIN(RADIANS(VLOOKUP($B53,'Airport Parameters'!$A:$D,3,FALSE())-VLOOKUP($A53,'Airport Parameters'!$A:$D,3,FALSE()))/2)^2+COS(RADIANS(VLOOKUP($A53,'Airport Parameters'!$A:$D,3,FALSE())))*COS(RADIANS(VLOOKUP($B53,'Airport Parameters'!$A:$D,3,FALSE())))*SIN(RADIANS(VLOOKUP($B53,'Airport Parameters'!$A:$D,4,FALSE())-VLOOKUP($A53,'Airport Parameters'!$A:$D,4,FALSE()))/2)^2)),"")</f>
        <v>3660.4388339841908</v>
      </c>
      <c r="E53" s="5">
        <f>VLOOKUP(A53,'Airport Parameters'!$A:$G,7,FALSE)</f>
        <v>2216</v>
      </c>
      <c r="F53" s="5">
        <f>VLOOKUP(B53,'Airport Parameters'!$A:$G,7,FALSE)</f>
        <v>15000</v>
      </c>
      <c r="G53" s="5"/>
      <c r="H53" s="5"/>
      <c r="I53" s="4"/>
    </row>
    <row r="54" spans="1:9" ht="24" x14ac:dyDescent="0.4">
      <c r="A54" s="5" t="s">
        <v>126</v>
      </c>
      <c r="B54" s="5" t="s">
        <v>244</v>
      </c>
      <c r="C54" s="5">
        <v>514</v>
      </c>
      <c r="D54" s="5">
        <f>IFERROR(2*3440.065*ASIN(SQRT(SIN(RADIANS(VLOOKUP($B54,'Airport Parameters'!$A:$D,3,FALSE())-VLOOKUP($A54,'Airport Parameters'!$A:$D,3,FALSE()))/2)^2+COS(RADIANS(VLOOKUP($A54,'Airport Parameters'!$A:$D,3,FALSE())))*COS(RADIANS(VLOOKUP($B54,'Airport Parameters'!$A:$D,3,FALSE())))*SIN(RADIANS(VLOOKUP($B54,'Airport Parameters'!$A:$D,4,FALSE())-VLOOKUP($A54,'Airport Parameters'!$A:$D,4,FALSE()))/2)^2)),"")</f>
        <v>4541.603672179288</v>
      </c>
      <c r="E54" s="5">
        <f>VLOOKUP(A54,'Airport Parameters'!$A:$G,7,FALSE)</f>
        <v>203250</v>
      </c>
      <c r="F54" s="5">
        <f>VLOOKUP(B54,'Airport Parameters'!$A:$G,7,FALSE)</f>
        <v>15000</v>
      </c>
      <c r="G54" s="5"/>
      <c r="H54" s="5"/>
      <c r="I54" s="4"/>
    </row>
    <row r="55" spans="1:9" ht="24" x14ac:dyDescent="0.4">
      <c r="A55" s="5" t="s">
        <v>210</v>
      </c>
      <c r="B55" s="5" t="s">
        <v>258</v>
      </c>
      <c r="C55" s="5">
        <v>343</v>
      </c>
      <c r="D55" s="5">
        <f>IFERROR(2*3440.065*ASIN(SQRT(SIN(RADIANS(VLOOKUP($B55,'Airport Parameters'!$A:$D,3,FALSE())-VLOOKUP($A55,'Airport Parameters'!$A:$D,3,FALSE()))/2)^2+COS(RADIANS(VLOOKUP($A55,'Airport Parameters'!$A:$D,3,FALSE())))*COS(RADIANS(VLOOKUP($B55,'Airport Parameters'!$A:$D,3,FALSE())))*SIN(RADIANS(VLOOKUP($B55,'Airport Parameters'!$A:$D,4,FALSE())-VLOOKUP($A55,'Airport Parameters'!$A:$D,4,FALSE()))/2)^2)),"")</f>
        <v>4700.4170003275367</v>
      </c>
      <c r="E55" s="5">
        <f>VLOOKUP(A55,'Airport Parameters'!$A:$G,7,FALSE)</f>
        <v>508</v>
      </c>
      <c r="F55" s="5">
        <f>VLOOKUP(B55,'Airport Parameters'!$A:$G,7,FALSE)</f>
        <v>496667</v>
      </c>
      <c r="G55" s="5"/>
      <c r="H55" s="5"/>
      <c r="I55" s="4"/>
    </row>
    <row r="56" spans="1:9" ht="24" x14ac:dyDescent="0.4">
      <c r="A56" s="5" t="s">
        <v>126</v>
      </c>
      <c r="B56" s="5" t="s">
        <v>190</v>
      </c>
      <c r="C56" s="5">
        <v>695</v>
      </c>
      <c r="D56" s="5">
        <f>IFERROR(2*3440.065*ASIN(SQRT(SIN(RADIANS(VLOOKUP($B56,'Airport Parameters'!$A:$D,3,FALSE())-VLOOKUP($A56,'Airport Parameters'!$A:$D,3,FALSE()))/2)^2+COS(RADIANS(VLOOKUP($A56,'Airport Parameters'!$A:$D,3,FALSE())))*COS(RADIANS(VLOOKUP($B56,'Airport Parameters'!$A:$D,3,FALSE())))*SIN(RADIANS(VLOOKUP($B56,'Airport Parameters'!$A:$D,4,FALSE())-VLOOKUP($A56,'Airport Parameters'!$A:$D,4,FALSE()))/2)^2)),"")</f>
        <v>5347.6146939942591</v>
      </c>
      <c r="E56" s="5">
        <f>VLOOKUP(A56,'Airport Parameters'!$A:$G,7,FALSE)</f>
        <v>203250</v>
      </c>
      <c r="F56" s="5">
        <f>VLOOKUP(B56,'Airport Parameters'!$A:$G,7,FALSE)</f>
        <v>1499000</v>
      </c>
      <c r="G56" s="5"/>
      <c r="H56" s="5"/>
      <c r="I56" s="4"/>
    </row>
    <row r="57" spans="1:9" ht="24" x14ac:dyDescent="0.4">
      <c r="A57" s="5" t="s">
        <v>186</v>
      </c>
      <c r="B57" s="5" t="s">
        <v>254</v>
      </c>
      <c r="C57" s="5">
        <v>348</v>
      </c>
      <c r="D57" s="5">
        <f>IFERROR(2*3440.065*ASIN(SQRT(SIN(RADIANS(VLOOKUP($B57,'Airport Parameters'!$A:$D,3,FALSE())-VLOOKUP($A57,'Airport Parameters'!$A:$D,3,FALSE()))/2)^2+COS(RADIANS(VLOOKUP($A57,'Airport Parameters'!$A:$D,3,FALSE())))*COS(RADIANS(VLOOKUP($B57,'Airport Parameters'!$A:$D,3,FALSE())))*SIN(RADIANS(VLOOKUP($B57,'Airport Parameters'!$A:$D,4,FALSE())-VLOOKUP($A57,'Airport Parameters'!$A:$D,4,FALSE()))/2)^2)),"")</f>
        <v>6375.6025560198295</v>
      </c>
      <c r="E57" s="5">
        <f>VLOOKUP(A57,'Airport Parameters'!$A:$G,7,FALSE)</f>
        <v>1742000</v>
      </c>
      <c r="F57" s="5">
        <f>VLOOKUP(B57,'Airport Parameters'!$A:$G,7,FALSE)</f>
        <v>18169</v>
      </c>
      <c r="G57" s="5"/>
      <c r="H57" s="5"/>
      <c r="I57" s="4"/>
    </row>
    <row r="58" spans="1:9" ht="24" x14ac:dyDescent="0.4">
      <c r="A58" s="5" t="s">
        <v>118</v>
      </c>
      <c r="B58" s="5" t="s">
        <v>162</v>
      </c>
      <c r="C58" s="5">
        <v>285</v>
      </c>
      <c r="D58" s="5">
        <f>IFERROR(2*3440.065*ASIN(SQRT(SIN(RADIANS(VLOOKUP($B58,'Airport Parameters'!$A:$D,3,FALSE())-VLOOKUP($A58,'Airport Parameters'!$A:$D,3,FALSE()))/2)^2+COS(RADIANS(VLOOKUP($A58,'Airport Parameters'!$A:$D,3,FALSE())))*COS(RADIANS(VLOOKUP($B58,'Airport Parameters'!$A:$D,3,FALSE())))*SIN(RADIANS(VLOOKUP($B58,'Airport Parameters'!$A:$D,4,FALSE())-VLOOKUP($A58,'Airport Parameters'!$A:$D,4,FALSE()))/2)^2)),"")</f>
        <v>6452.497789693226</v>
      </c>
      <c r="E58" s="5">
        <f>VLOOKUP(A58,'Airport Parameters'!$A:$G,7,FALSE)</f>
        <v>3014</v>
      </c>
      <c r="F58" s="5">
        <f>VLOOKUP(B58,'Airport Parameters'!$A:$G,7,FALSE)</f>
        <v>972000</v>
      </c>
      <c r="G58" s="5"/>
      <c r="H58" s="5"/>
      <c r="I58" s="4"/>
    </row>
    <row r="59" spans="1:9" ht="24" x14ac:dyDescent="0.4">
      <c r="A59" s="5" t="s">
        <v>43</v>
      </c>
      <c r="B59" s="5" t="s">
        <v>105</v>
      </c>
      <c r="C59" s="5">
        <v>586</v>
      </c>
      <c r="D59" s="5">
        <f>IFERROR(2*3440.065*ASIN(SQRT(SIN(RADIANS(VLOOKUP($B59,'Airport Parameters'!$A:$D,3,FALSE())-VLOOKUP($A59,'Airport Parameters'!$A:$D,3,FALSE()))/2)^2+COS(RADIANS(VLOOKUP($A59,'Airport Parameters'!$A:$D,3,FALSE())))*COS(RADIANS(VLOOKUP($B59,'Airport Parameters'!$A:$D,3,FALSE())))*SIN(RADIANS(VLOOKUP($B59,'Airport Parameters'!$A:$D,4,FALSE())-VLOOKUP($A59,'Airport Parameters'!$A:$D,4,FALSE()))/2)^2)),"")</f>
        <v>6560.8286757737751</v>
      </c>
      <c r="E59" s="5">
        <f>VLOOKUP(A59,'Airport Parameters'!$A:$G,7,FALSE)</f>
        <v>83789</v>
      </c>
      <c r="F59" s="5">
        <f>VLOOKUP(B59,'Airport Parameters'!$A:$G,7,FALSE)</f>
        <v>239170</v>
      </c>
      <c r="G59" s="5"/>
      <c r="H59" s="5"/>
      <c r="I59" s="4"/>
    </row>
    <row r="60" spans="1:9" ht="24" x14ac:dyDescent="0.4">
      <c r="A60" s="5" t="s">
        <v>73</v>
      </c>
      <c r="B60" s="5" t="s">
        <v>186</v>
      </c>
      <c r="C60" s="5">
        <v>677</v>
      </c>
      <c r="D60" s="5">
        <f>IFERROR(2*3440.065*ASIN(SQRT(SIN(RADIANS(VLOOKUP($B60,'Airport Parameters'!$A:$D,3,FALSE())-VLOOKUP($A60,'Airport Parameters'!$A:$D,3,FALSE()))/2)^2+COS(RADIANS(VLOOKUP($A60,'Airport Parameters'!$A:$D,3,FALSE())))*COS(RADIANS(VLOOKUP($B60,'Airport Parameters'!$A:$D,3,FALSE())))*SIN(RADIANS(VLOOKUP($B60,'Airport Parameters'!$A:$D,4,FALSE())-VLOOKUP($A60,'Airport Parameters'!$A:$D,4,FALSE()))/2)^2)),"")</f>
        <v>6988.6437776551738</v>
      </c>
      <c r="E60" s="5">
        <f>VLOOKUP(A60,'Airport Parameters'!$A:$G,7,FALSE)</f>
        <v>150889</v>
      </c>
      <c r="F60" s="5">
        <f>VLOOKUP(B60,'Airport Parameters'!$A:$G,7,FALSE)</f>
        <v>1742000</v>
      </c>
      <c r="G60" s="5"/>
      <c r="H60" s="5"/>
      <c r="I60" s="4"/>
    </row>
    <row r="61" spans="1:9" ht="24" x14ac:dyDescent="0.4">
      <c r="A61" s="5" t="s">
        <v>105</v>
      </c>
      <c r="B61" s="5" t="s">
        <v>226</v>
      </c>
      <c r="C61" s="5">
        <v>358</v>
      </c>
      <c r="D61" s="5">
        <f>IFERROR(2*3440.065*ASIN(SQRT(SIN(RADIANS(VLOOKUP($B61,'Airport Parameters'!$A:$D,3,FALSE())-VLOOKUP($A61,'Airport Parameters'!$A:$D,3,FALSE()))/2)^2+COS(RADIANS(VLOOKUP($A61,'Airport Parameters'!$A:$D,3,FALSE())))*COS(RADIANS(VLOOKUP($B61,'Airport Parameters'!$A:$D,3,FALSE())))*SIN(RADIANS(VLOOKUP($B61,'Airport Parameters'!$A:$D,4,FALSE())-VLOOKUP($A61,'Airport Parameters'!$A:$D,4,FALSE()))/2)^2)),"")</f>
        <v>7139.1642562470861</v>
      </c>
      <c r="E61" s="5">
        <f>VLOOKUP(A61,'Airport Parameters'!$A:$G,7,FALSE)</f>
        <v>239170</v>
      </c>
      <c r="F61" s="5">
        <f>VLOOKUP(B61,'Airport Parameters'!$A:$G,7,FALSE)</f>
        <v>77738</v>
      </c>
      <c r="G61" s="5"/>
      <c r="H61" s="5"/>
      <c r="I61" s="4"/>
    </row>
    <row r="62" spans="1:9" ht="24" x14ac:dyDescent="0.4">
      <c r="A62" s="4"/>
      <c r="B62" s="4"/>
      <c r="C62" s="4"/>
      <c r="D62" s="4"/>
      <c r="E62" s="4"/>
      <c r="F62" s="4"/>
      <c r="G62" s="4"/>
      <c r="H62" s="4"/>
      <c r="I62" s="4"/>
    </row>
    <row r="63" spans="1:9" ht="24" x14ac:dyDescent="0.4">
      <c r="A63" s="6" t="s">
        <v>282</v>
      </c>
      <c r="B63" s="4" t="str">
        <f>COUNTA(C2:C61)&amp;" / 60"</f>
        <v>60 / 60</v>
      </c>
      <c r="C63" s="4"/>
      <c r="D63" s="4"/>
      <c r="E63" s="4"/>
      <c r="F63" s="4"/>
      <c r="G63" s="4"/>
      <c r="H63" s="4"/>
      <c r="I63" s="4"/>
    </row>
    <row r="64" spans="1:9" ht="24" x14ac:dyDescent="0.4">
      <c r="A64" s="4"/>
      <c r="B64" s="4"/>
      <c r="C64" s="4"/>
      <c r="D64" s="4"/>
      <c r="E64" s="4"/>
      <c r="F64" s="4"/>
      <c r="G64" s="4"/>
      <c r="H64" s="4"/>
      <c r="I64" s="4"/>
    </row>
    <row r="65" spans="1:9" ht="24" x14ac:dyDescent="0.4">
      <c r="A65" s="4"/>
      <c r="B65" s="4"/>
      <c r="C65" s="4"/>
      <c r="D65" s="4"/>
      <c r="E65" s="4"/>
      <c r="F65" s="4"/>
      <c r="G65" s="4"/>
      <c r="H65" s="4"/>
      <c r="I65" s="4"/>
    </row>
    <row r="66" spans="1:9" ht="24" x14ac:dyDescent="0.4">
      <c r="A66" s="4"/>
      <c r="B66" s="4"/>
      <c r="C66" s="4"/>
      <c r="D66" s="4"/>
      <c r="E66" s="4"/>
      <c r="F66" s="4"/>
      <c r="G66" s="4"/>
      <c r="H66" s="4"/>
      <c r="I66" s="4"/>
    </row>
    <row r="67" spans="1:9" ht="24" x14ac:dyDescent="0.4">
      <c r="A67" s="4"/>
      <c r="B67" s="4"/>
      <c r="C67" s="4"/>
      <c r="D67" s="4"/>
      <c r="E67" s="4"/>
      <c r="F67" s="4"/>
      <c r="G67" s="4"/>
      <c r="H67" s="4"/>
      <c r="I67" s="4"/>
    </row>
    <row r="68" spans="1:9" ht="24" x14ac:dyDescent="0.4">
      <c r="A68" s="4"/>
      <c r="B68" s="4"/>
      <c r="C68" s="4"/>
      <c r="D68" s="4"/>
      <c r="E68" s="4"/>
      <c r="F68" s="4"/>
      <c r="G68" s="4"/>
      <c r="H68" s="4"/>
      <c r="I68" s="4"/>
    </row>
    <row r="69" spans="1:9" ht="24" x14ac:dyDescent="0.4">
      <c r="A69" s="4"/>
      <c r="B69" s="4"/>
      <c r="C69" s="4"/>
      <c r="D69" s="4"/>
      <c r="E69" s="4"/>
      <c r="F69" s="4"/>
      <c r="G69" s="4"/>
      <c r="H69" s="4"/>
      <c r="I69" s="4"/>
    </row>
    <row r="70" spans="1:9" ht="24" x14ac:dyDescent="0.4">
      <c r="A70" s="4"/>
      <c r="B70" s="4"/>
      <c r="C70" s="4"/>
      <c r="D70" s="4"/>
      <c r="E70" s="4"/>
      <c r="F70" s="4"/>
      <c r="G70" s="4"/>
      <c r="H70" s="4"/>
      <c r="I70" s="4"/>
    </row>
    <row r="71" spans="1:9" ht="24" x14ac:dyDescent="0.4">
      <c r="A71" s="4"/>
      <c r="B71" s="4"/>
      <c r="C71" s="4"/>
      <c r="D71" s="4"/>
      <c r="E71" s="4"/>
      <c r="F71" s="4"/>
      <c r="G71" s="4"/>
      <c r="H71" s="4"/>
      <c r="I71" s="4"/>
    </row>
    <row r="72" spans="1:9" ht="24" x14ac:dyDescent="0.4">
      <c r="A72" s="4"/>
      <c r="B72" s="4"/>
      <c r="C72" s="4"/>
      <c r="D72" s="4"/>
      <c r="E72" s="4"/>
      <c r="F72" s="4"/>
      <c r="G72" s="4"/>
      <c r="H72" s="4"/>
      <c r="I72" s="4"/>
    </row>
    <row r="73" spans="1:9" ht="24" x14ac:dyDescent="0.4">
      <c r="A73" s="4"/>
      <c r="B73" s="4"/>
      <c r="C73" s="4"/>
      <c r="D73" s="4"/>
      <c r="E73" s="4"/>
      <c r="F73" s="4"/>
      <c r="G73" s="4"/>
      <c r="H73" s="4"/>
      <c r="I73" s="4"/>
    </row>
    <row r="74" spans="1:9" ht="24" x14ac:dyDescent="0.4">
      <c r="A74" s="4"/>
      <c r="B74" s="4"/>
      <c r="C74" s="4"/>
      <c r="D74" s="4"/>
      <c r="E74" s="4"/>
      <c r="F74" s="4"/>
      <c r="G74" s="4"/>
      <c r="H74" s="4"/>
      <c r="I74" s="4"/>
    </row>
    <row r="75" spans="1:9" ht="24" x14ac:dyDescent="0.4">
      <c r="A75" s="4"/>
      <c r="B75" s="4"/>
      <c r="C75" s="4"/>
      <c r="D75" s="4"/>
      <c r="E75" s="4"/>
      <c r="F75" s="4"/>
      <c r="G75" s="4"/>
      <c r="H75" s="4"/>
      <c r="I75" s="4"/>
    </row>
    <row r="76" spans="1:9" ht="24" x14ac:dyDescent="0.4">
      <c r="A76" s="4"/>
      <c r="B76" s="4"/>
      <c r="C76" s="4"/>
      <c r="D76" s="4"/>
      <c r="E76" s="4"/>
      <c r="F76" s="4"/>
      <c r="G76" s="4"/>
      <c r="H76" s="4"/>
      <c r="I76" s="4"/>
    </row>
    <row r="77" spans="1:9" ht="24" x14ac:dyDescent="0.4">
      <c r="A77" s="4"/>
      <c r="B77" s="4"/>
      <c r="C77" s="4"/>
      <c r="D77" s="4"/>
      <c r="E77" s="4"/>
      <c r="F77" s="4"/>
      <c r="G77" s="4"/>
      <c r="H77" s="4"/>
      <c r="I77" s="4"/>
    </row>
    <row r="78" spans="1:9" ht="24" x14ac:dyDescent="0.4">
      <c r="A78" s="4"/>
      <c r="B78" s="4"/>
      <c r="C78" s="4"/>
      <c r="D78" s="4"/>
      <c r="E78" s="4"/>
      <c r="F78" s="4"/>
      <c r="G78" s="4"/>
      <c r="H78" s="4"/>
      <c r="I78" s="4"/>
    </row>
    <row r="79" spans="1:9" ht="24" x14ac:dyDescent="0.4">
      <c r="A79" s="4"/>
      <c r="B79" s="4"/>
      <c r="C79" s="4"/>
      <c r="D79" s="4"/>
      <c r="E79" s="4"/>
      <c r="F79" s="4"/>
      <c r="G79" s="4"/>
      <c r="H79" s="4"/>
      <c r="I79" s="4"/>
    </row>
    <row r="80" spans="1:9" ht="24" x14ac:dyDescent="0.4">
      <c r="A80" s="4"/>
      <c r="B80" s="4"/>
      <c r="C80" s="4"/>
      <c r="D80" s="4"/>
      <c r="E80" s="4"/>
      <c r="F80" s="4"/>
      <c r="G80" s="4"/>
      <c r="H80" s="4"/>
      <c r="I80" s="4"/>
    </row>
    <row r="81" spans="1:9" ht="24" x14ac:dyDescent="0.4">
      <c r="A81" s="4"/>
      <c r="B81" s="4"/>
      <c r="C81" s="4"/>
      <c r="D81" s="4"/>
      <c r="E81" s="4"/>
      <c r="F81" s="4"/>
      <c r="G81" s="4"/>
      <c r="H81" s="4"/>
      <c r="I8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C9BB-1B3F-5441-A902-456B5E028C47}">
  <dimension ref="A1:D29"/>
  <sheetViews>
    <sheetView topLeftCell="A4" zoomScale="200" workbookViewId="0">
      <selection activeCell="B14" sqref="B14"/>
    </sheetView>
  </sheetViews>
  <sheetFormatPr baseColWidth="10" defaultRowHeight="15" x14ac:dyDescent="0.2"/>
  <cols>
    <col min="1" max="1" width="20" style="18" bestFit="1" customWidth="1"/>
    <col min="2" max="2" width="17.83203125" style="18" bestFit="1" customWidth="1"/>
    <col min="3" max="3" width="18.6640625" bestFit="1" customWidth="1"/>
  </cols>
  <sheetData>
    <row r="1" spans="1:4" ht="29" x14ac:dyDescent="0.45">
      <c r="A1" s="14" t="s">
        <v>292</v>
      </c>
      <c r="B1" s="15"/>
      <c r="C1" s="16"/>
    </row>
    <row r="2" spans="1:4" ht="29" x14ac:dyDescent="0.45">
      <c r="A2" s="13" t="s">
        <v>295</v>
      </c>
      <c r="B2" s="12" t="s">
        <v>291</v>
      </c>
      <c r="C2" s="13" t="s">
        <v>296</v>
      </c>
      <c r="D2" s="12" t="s">
        <v>291</v>
      </c>
    </row>
    <row r="3" spans="1:4" ht="24" x14ac:dyDescent="0.4">
      <c r="A3" s="19" t="s">
        <v>293</v>
      </c>
      <c r="B3" s="17">
        <v>0.74531999999999998</v>
      </c>
      <c r="C3" s="17" t="s">
        <v>301</v>
      </c>
      <c r="D3" s="18"/>
    </row>
    <row r="4" spans="1:4" ht="24" x14ac:dyDescent="0.4">
      <c r="A4" s="19" t="s">
        <v>294</v>
      </c>
      <c r="B4" s="17">
        <v>3.6308764999999998</v>
      </c>
      <c r="C4" s="17" t="s">
        <v>302</v>
      </c>
      <c r="D4" s="18">
        <f>EXP(B4)</f>
        <v>37.745886391658203</v>
      </c>
    </row>
    <row r="5" spans="1:4" ht="24" x14ac:dyDescent="0.4">
      <c r="A5" s="19" t="s">
        <v>298</v>
      </c>
      <c r="B5" s="17">
        <v>0.1166132</v>
      </c>
      <c r="C5" s="17" t="s">
        <v>303</v>
      </c>
      <c r="D5" s="18">
        <f>B5</f>
        <v>0.1166132</v>
      </c>
    </row>
    <row r="6" spans="1:4" ht="24" x14ac:dyDescent="0.4">
      <c r="A6" s="19" t="s">
        <v>299</v>
      </c>
      <c r="B6" s="17">
        <v>0.1017242</v>
      </c>
      <c r="C6" s="17" t="s">
        <v>304</v>
      </c>
      <c r="D6" s="18">
        <f>B6</f>
        <v>0.1017242</v>
      </c>
    </row>
    <row r="7" spans="1:4" ht="24" x14ac:dyDescent="0.4">
      <c r="A7" s="19" t="s">
        <v>297</v>
      </c>
      <c r="B7" s="17" t="s">
        <v>300</v>
      </c>
      <c r="C7" s="17" t="s">
        <v>301</v>
      </c>
      <c r="D7" s="18"/>
    </row>
    <row r="8" spans="1:4" ht="24" x14ac:dyDescent="0.4">
      <c r="A8" s="19" t="s">
        <v>297</v>
      </c>
      <c r="B8" s="17" t="s">
        <v>300</v>
      </c>
      <c r="C8" s="17" t="s">
        <v>301</v>
      </c>
      <c r="D8" s="18"/>
    </row>
    <row r="9" spans="1:4" ht="24" x14ac:dyDescent="0.4">
      <c r="A9" s="19" t="s">
        <v>297</v>
      </c>
      <c r="B9" s="17" t="s">
        <v>300</v>
      </c>
      <c r="C9" s="17" t="s">
        <v>301</v>
      </c>
      <c r="D9" s="18"/>
    </row>
    <row r="10" spans="1:4" ht="24" x14ac:dyDescent="0.4">
      <c r="A10" t="s">
        <v>305</v>
      </c>
      <c r="B10" s="17"/>
      <c r="C10" s="5"/>
    </row>
    <row r="11" spans="1:4" ht="24" x14ac:dyDescent="0.4">
      <c r="A11"/>
      <c r="B11" s="17"/>
      <c r="C11" s="5"/>
    </row>
    <row r="12" spans="1:4" ht="24" x14ac:dyDescent="0.4">
      <c r="A12" t="s">
        <v>306</v>
      </c>
      <c r="B12" s="17"/>
      <c r="C12" s="5"/>
    </row>
    <row r="13" spans="1:4" ht="24" x14ac:dyDescent="0.4">
      <c r="A13" s="17"/>
      <c r="B13" s="17"/>
      <c r="C13" s="5"/>
    </row>
    <row r="14" spans="1:4" ht="24" x14ac:dyDescent="0.4">
      <c r="A14" s="17"/>
      <c r="B14" s="17"/>
      <c r="C14" s="5"/>
    </row>
    <row r="15" spans="1:4" ht="24" x14ac:dyDescent="0.4">
      <c r="A15" s="17"/>
      <c r="B15" s="17"/>
      <c r="C15" s="5"/>
    </row>
    <row r="16" spans="1:4" ht="24" x14ac:dyDescent="0.4">
      <c r="A16" s="17"/>
      <c r="B16" s="17"/>
      <c r="C16" s="5"/>
    </row>
    <row r="17" spans="1:3" ht="24" x14ac:dyDescent="0.4">
      <c r="A17" s="17"/>
      <c r="B17" s="17"/>
      <c r="C17" s="5"/>
    </row>
    <row r="18" spans="1:3" ht="24" x14ac:dyDescent="0.4">
      <c r="A18" s="17"/>
      <c r="B18" s="17"/>
      <c r="C18" s="5"/>
    </row>
    <row r="19" spans="1:3" ht="24" x14ac:dyDescent="0.4">
      <c r="A19" s="17"/>
      <c r="B19" s="17"/>
      <c r="C19" s="5"/>
    </row>
    <row r="20" spans="1:3" ht="24" x14ac:dyDescent="0.4">
      <c r="A20" s="17"/>
      <c r="B20" s="17"/>
      <c r="C20" s="5"/>
    </row>
    <row r="21" spans="1:3" ht="24" x14ac:dyDescent="0.4">
      <c r="A21" s="17"/>
      <c r="B21" s="17"/>
      <c r="C21" s="5"/>
    </row>
    <row r="22" spans="1:3" ht="24" x14ac:dyDescent="0.4">
      <c r="A22" s="17"/>
      <c r="B22" s="17"/>
      <c r="C22" s="5"/>
    </row>
    <row r="23" spans="1:3" ht="24" x14ac:dyDescent="0.4">
      <c r="A23" s="17"/>
      <c r="B23" s="17"/>
      <c r="C23" s="5"/>
    </row>
    <row r="24" spans="1:3" ht="24" x14ac:dyDescent="0.4">
      <c r="A24" s="17"/>
      <c r="B24" s="17"/>
      <c r="C24" s="5"/>
    </row>
    <row r="25" spans="1:3" ht="24" x14ac:dyDescent="0.4">
      <c r="A25" s="17"/>
      <c r="B25" s="17"/>
      <c r="C25" s="5"/>
    </row>
    <row r="26" spans="1:3" ht="24" x14ac:dyDescent="0.4">
      <c r="A26" s="17"/>
      <c r="B26" s="17"/>
      <c r="C26" s="5"/>
    </row>
    <row r="27" spans="1:3" ht="24" x14ac:dyDescent="0.4">
      <c r="A27" s="17"/>
      <c r="B27" s="17"/>
      <c r="C27" s="5"/>
    </row>
    <row r="28" spans="1:3" ht="24" x14ac:dyDescent="0.4">
      <c r="A28" s="17"/>
      <c r="B28" s="17"/>
      <c r="C28" s="5"/>
    </row>
    <row r="29" spans="1:3" ht="24" x14ac:dyDescent="0.4">
      <c r="A29" s="17"/>
      <c r="B29" s="17"/>
      <c r="C29" s="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Airport Parameters</vt:lpstr>
      <vt:lpstr>Calibration Routes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Williams, Mayon</cp:lastModifiedBy>
  <cp:revision>0</cp:revision>
  <dcterms:created xsi:type="dcterms:W3CDTF">2026-06-26T18:19:18Z</dcterms:created>
  <dcterms:modified xsi:type="dcterms:W3CDTF">2026-07-28T09:29:00Z</dcterms:modified>
  <dc:language>en-US</dc:language>
</cp:coreProperties>
</file>